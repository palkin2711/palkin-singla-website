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Meta Campaign Audit" sheetId="1" r:id="rId4"/>
    <sheet state="visible" name="🎯 Google Ads Plan" sheetId="2" r:id="rId5"/>
    <sheet state="visible" name="📘 Meta Rebuild Plan" sheetId="3" r:id="rId6"/>
    <sheet state="visible" name="💡 Combined Strategy" sheetId="4" r:id="rId7"/>
  </sheets>
  <definedNames/>
  <calcPr/>
  <extLst>
    <ext uri="GoogleSheetsCustomDataVersion2">
      <go:sheetsCustomData xmlns:go="http://customooxmlschemas.google.com/" r:id="rId8" roundtripDataChecksum="mLkLgdvpguwixphaOCqmuAPRedNvqaBDZiwRsCz1L9w="/>
    </ext>
  </extLst>
</workbook>
</file>

<file path=xl/sharedStrings.xml><?xml version="1.0" encoding="utf-8"?>
<sst xmlns="http://schemas.openxmlformats.org/spreadsheetml/2006/main" count="365" uniqueCount="324">
  <si>
    <t>BEAMING MIAMI: META FACEBOOK ADS AUDIT</t>
  </si>
  <si>
    <t>Reporting Period: May 14, 2026 – Jun 12, 2026   |   Status: ⛔ All Campaigns Paused Pending Strategy Review</t>
  </si>
  <si>
    <t>Campaign Name</t>
  </si>
  <si>
    <t>Status</t>
  </si>
  <si>
    <t>Spent (USD)</t>
  </si>
  <si>
    <t>Impressions</t>
  </si>
  <si>
    <t>Reach</t>
  </si>
  <si>
    <t>Result Type</t>
  </si>
  <si>
    <t>Results</t>
  </si>
  <si>
    <t>Cost/Result</t>
  </si>
  <si>
    <t>Msg Convos Started</t>
  </si>
  <si>
    <t>Cost/Msg Convo</t>
  </si>
  <si>
    <t>Budget/Day</t>
  </si>
  <si>
    <t>Assessment</t>
  </si>
  <si>
    <t>New Awareness Campaign - 15</t>
  </si>
  <si>
    <t>⛔ Paused</t>
  </si>
  <si>
    <t>—</t>
  </si>
  <si>
    <t>$15/day</t>
  </si>
  <si>
    <t>Low reach cost but zero lead intent. Brand awareness only.</t>
  </si>
  <si>
    <t>Leads Campaign - 19-05-2026</t>
  </si>
  <si>
    <t>Leads</t>
  </si>
  <si>
    <t>0 tracked</t>
  </si>
  <si>
    <t>$35/day</t>
  </si>
  <si>
    <t>⚠ $218 spent, only 3 msg convos. $73/convo. Poor ROI.</t>
  </si>
  <si>
    <t>Sales Campaign - 29</t>
  </si>
  <si>
    <t>Msg Convos</t>
  </si>
  <si>
    <t>$31/day</t>
  </si>
  <si>
    <t>Best performer: 96 convos @ $4.50. But are they real leads?</t>
  </si>
  <si>
    <t>New Traffic Campaign - Booking</t>
  </si>
  <si>
    <t>Landing Page Views</t>
  </si>
  <si>
    <t>$0/day (ended)</t>
  </si>
  <si>
    <t>675 page views @ $0.25. No booking tracking set up.</t>
  </si>
  <si>
    <t>TOTAL SPENT</t>
  </si>
  <si>
    <t>KEY FINDINGS &amp; WHY CAMPAIGNS WERE PAUSED</t>
  </si>
  <si>
    <t>❌ Problem 1</t>
  </si>
  <si>
    <t>Leads Campaign spent $218 and generated only 3 messaging conversations ($73 each) — zero qualified leads confirmed.</t>
  </si>
  <si>
    <t>❌ Problem 2</t>
  </si>
  <si>
    <t>Sales Campaign had 96 message convos at $4.50 each — BUT client reports these are NOT converting to real bookings/sales.</t>
  </si>
  <si>
    <t>⚠ Problem 3</t>
  </si>
  <si>
    <t>Traffic Campaign drove 675 landing page views but no conversion tracking is installed — unknown if anyone booked.</t>
  </si>
  <si>
    <t>⚠ Problem 4</t>
  </si>
  <si>
    <t>Awareness Campaign reached 30K+ people but has no path to conversion. Pure top-of-funnel with no follow-up.</t>
  </si>
  <si>
    <t>✅ Only Positive</t>
  </si>
  <si>
    <t>Sales Campaign messaging cost ($4.50/convo) is reasonable — the issue is lead quality, not volume.</t>
  </si>
  <si>
    <t>ROOT CAUSE ANALYSIS</t>
  </si>
  <si>
    <t>1.  No lead qualification funnel — Meta ads sent people directly to WhatsApp/DMs without pre-qualifying interest or budget.</t>
  </si>
  <si>
    <t>2.  Wrong campaign objectives — 'Sales' objective was used but optimizing for messaging, not actual purchases or form completions.</t>
  </si>
  <si>
    <t>3.  No CRM or booking integration — no way to track which ad conversations turned into paying customers.</t>
  </si>
  <si>
    <t>4.  Audience targeting likely too broad — no lookalike audiences from past buyers; cold audiences only.</t>
  </si>
  <si>
    <t>5.  No retargeting setup — website visitors, video viewers, and IG engagers were not being re-targeted.</t>
  </si>
  <si>
    <t>6.  Creative/copy not pre-qualifying — ads likely not stating price range, services, or location clearly enough to filter intent.</t>
  </si>
  <si>
    <t>BEAMING MIAMI — GOOGLE ADS STRATEGY PLAN</t>
  </si>
  <si>
    <t>Why Google Ads?  |  Intent-Based — People Searching for Wellness &amp; Beauty Services RIGHT NOW</t>
  </si>
  <si>
    <t>WHY GOOGLE ADS IS THE PRIORITY CHANNEL FOR BEAMING MIAMI</t>
  </si>
  <si>
    <t>🔍 High Purchase Intent</t>
  </si>
  <si>
    <t>Users actively searching 'IV drip Miami', 'hydration therapy near me', 'vitamin infusion Miami' are ready to book — not just browsing.</t>
  </si>
  <si>
    <t>💰 Lower Waste</t>
  </si>
  <si>
    <t>Pay only for clicks from people who searched for your service. Meta shows ads to people who may have no interest.</t>
  </si>
  <si>
    <t>📍 Local Service Targeting</t>
  </si>
  <si>
    <t>Google Maps + Local Search Ads put Beaming Miami at the top when someone nearby searches for wellness services.</t>
  </si>
  <si>
    <t>📊 Conversion Tracking</t>
  </si>
  <si>
    <t>Google Ads integrates with booking pages — you can track exactly which keywords led to actual bookings.</t>
  </si>
  <si>
    <t>🏆 Competitor Advantage</t>
  </si>
  <si>
    <t>Competitors bidding on branded/category terms means Beaming Miami needs Google presence to capture this demand.</t>
  </si>
  <si>
    <t>🔄 Full Funnel</t>
  </si>
  <si>
    <t>Google handles bottom-funnel (Search) + top-of-mind (Display Retargeting) in one platform with clear ROI tracking.</t>
  </si>
  <si>
    <t>RECOMMENDED GOOGLE ADS CAMPAIGN STRUCTURE</t>
  </si>
  <si>
    <t>Campaign</t>
  </si>
  <si>
    <t>Objective</t>
  </si>
  <si>
    <t>Campaign Type</t>
  </si>
  <si>
    <t>Monthly Budget</t>
  </si>
  <si>
    <t>Keywords/Targeting</t>
  </si>
  <si>
    <t>Bid Strategy</t>
  </si>
  <si>
    <t>Expected CPC</t>
  </si>
  <si>
    <t>Expected Clicks/Mo</t>
  </si>
  <si>
    <t>Expected Conv.</t>
  </si>
  <si>
    <t>Est. CPA</t>
  </si>
  <si>
    <t>1. Brand Defense</t>
  </si>
  <si>
    <t>Protect brand searches</t>
  </si>
  <si>
    <t>Search</t>
  </si>
  <si>
    <t>$200</t>
  </si>
  <si>
    <t>beaming miami, beaming miami IV drip</t>
  </si>
  <si>
    <t>Target CPA</t>
  </si>
  <si>
    <t>$0.80–$1.50</t>
  </si>
  <si>
    <t>~130</t>
  </si>
  <si>
    <t>~30</t>
  </si>
  <si>
    <t>~$7</t>
  </si>
  <si>
    <t>2. Service – IV Therapy</t>
  </si>
  <si>
    <t>Capture high-intent buyers</t>
  </si>
  <si>
    <t>$600</t>
  </si>
  <si>
    <t>IV drip Miami, IV therapy Miami, hydration therapy Miami</t>
  </si>
  <si>
    <t>Maximize Conversions</t>
  </si>
  <si>
    <t>$3–$6</t>
  </si>
  <si>
    <t>~140</t>
  </si>
  <si>
    <t>~20</t>
  </si>
  <si>
    <t>~$30</t>
  </si>
  <si>
    <t>3. Service – Wellness/Beauty</t>
  </si>
  <si>
    <t>Capture adjacent services</t>
  </si>
  <si>
    <t>$400</t>
  </si>
  <si>
    <t>vitamin infusion Miami, NAD+ therapy Miami, wellness drip Miami</t>
  </si>
  <si>
    <t>$2–$5</t>
  </si>
  <si>
    <t>~110</t>
  </si>
  <si>
    <t>~14</t>
  </si>
  <si>
    <t>~$29</t>
  </si>
  <si>
    <t>4. Local / Maps</t>
  </si>
  <si>
    <t>Drive walk-ins &amp; calls</t>
  </si>
  <si>
    <t>Local Search</t>
  </si>
  <si>
    <t>$300</t>
  </si>
  <si>
    <t>radius: 10mi from clinic</t>
  </si>
  <si>
    <t>Maximize Calls</t>
  </si>
  <si>
    <t>$4–$8</t>
  </si>
  <si>
    <t>~55</t>
  </si>
  <si>
    <t>~18</t>
  </si>
  <si>
    <t>~$17</t>
  </si>
  <si>
    <t>5. Retargeting (Display)</t>
  </si>
  <si>
    <t>Re-engage website visitors</t>
  </si>
  <si>
    <t>Display / PMAX</t>
  </si>
  <si>
    <t>Website visitors (30 days)</t>
  </si>
  <si>
    <t>Target ROAS</t>
  </si>
  <si>
    <t>$0.40–$0.80</t>
  </si>
  <si>
    <t>~350</t>
  </si>
  <si>
    <t>~10</t>
  </si>
  <si>
    <t>~$20</t>
  </si>
  <si>
    <t>TOTAL MONTHLY BUDGET</t>
  </si>
  <si>
    <t>$1,700/month</t>
  </si>
  <si>
    <t>EXPECTED MONTHLY PERFORMANCE (GOOGLE ADS)</t>
  </si>
  <si>
    <t>Total Clicks</t>
  </si>
  <si>
    <t>~785</t>
  </si>
  <si>
    <t>Qualified, intent-based traffic to booking page</t>
  </si>
  <si>
    <t>Total Conversions (Bookings)</t>
  </si>
  <si>
    <t>~92</t>
  </si>
  <si>
    <t>Based on industry avg 8–12% conversion rate</t>
  </si>
  <si>
    <t>Average CPA</t>
  </si>
  <si>
    <t>$18–$30</t>
  </si>
  <si>
    <t>Cost per actual booking (vs $73 on Meta leads campaign)</t>
  </si>
  <si>
    <t>Monthly Spend</t>
  </si>
  <si>
    <t>$1,700</t>
  </si>
  <si>
    <t>Scalable — increase budget as ROAS improves</t>
  </si>
  <si>
    <t>Projected Revenue (avg $150/booking)</t>
  </si>
  <si>
    <t>~$13,800</t>
  </si>
  <si>
    <t>At 92 bookings × $150 average ticket</t>
  </si>
  <si>
    <t>Projected ROAS</t>
  </si>
  <si>
    <t>~8.1x</t>
  </si>
  <si>
    <t>$13,800 revenue ÷ $1,700 spend</t>
  </si>
  <si>
    <t>PRE-LAUNCH SETUP CHECKLIST (MUST COMPLETE BEFORE LAUNCH)</t>
  </si>
  <si>
    <t>☐</t>
  </si>
  <si>
    <t>Install Google Tag Manager + Conversion Tracking on booking page</t>
  </si>
  <si>
    <t>Create Google Business Profile (if not done) and verify address</t>
  </si>
  <si>
    <t>Link Google Ads to Google Analytics 4 (GA4)</t>
  </si>
  <si>
    <t>Set up call tracking numbers for phone call conversions</t>
  </si>
  <si>
    <t>Build keyword lists: branded, service, competitor, local intent</t>
  </si>
  <si>
    <t>Create 3–5 ad variants per ad group with benefit-led headlines</t>
  </si>
  <si>
    <t>Set up remarketing audience (website visitors 30 days)</t>
  </si>
  <si>
    <t>Add negative keywords: 'free', 'DIY', 'home', non-geographic terms</t>
  </si>
  <si>
    <t>Connect booking system (Acuity/Mindbody) to track actual appointments</t>
  </si>
  <si>
    <t>BEAMING MIAMI — META (FACEBOOK/INSTAGRAM) REBUILD PLAN</t>
  </si>
  <si>
    <t>Meta Strategy: Top-of-Funnel Awareness + Retargeting Warm Audiences — NOT cold lead generation</t>
  </si>
  <si>
    <t>WHAT WENT WRONG WITH THE OLD META SETUP</t>
  </si>
  <si>
    <t>Wrong Objective</t>
  </si>
  <si>
    <t>Using 'Leads' or 'Messages' objective instead of 'Leads with CRM Integration' or 'Conversion' objective.</t>
  </si>
  <si>
    <t>No Funnel</t>
  </si>
  <si>
    <t>Cold audiences sent directly to WhatsApp — no landing page, no pre-qualification, no intent filter.</t>
  </si>
  <si>
    <t>No Pixel / Tracking</t>
  </si>
  <si>
    <t>Likely no Meta Pixel installed on website → can't optimize for real actions (bookings, form fills).</t>
  </si>
  <si>
    <t>Broad Targeting</t>
  </si>
  <si>
    <t>Likely targeting by demographics/interests only — no lookalike audiences from actual customer list.</t>
  </si>
  <si>
    <t>No Lead Quality Filter</t>
  </si>
  <si>
    <t>Ad copy didn't state price, service type, or location clearly → attracting tire-kickers.</t>
  </si>
  <si>
    <t>No Retargeting</t>
  </si>
  <si>
    <t>0 retargeting campaigns → website visitors, video viewers, past customers never re-engaged.</t>
  </si>
  <si>
    <t>NEW META CAMPAIGN STRUCTURE (PHASE 2 — AFTER GOOGLE ADS IS LIVE)</t>
  </si>
  <si>
    <t>Funnel Stage</t>
  </si>
  <si>
    <t>Audience</t>
  </si>
  <si>
    <t>Ad Format</t>
  </si>
  <si>
    <t>Goal</t>
  </si>
  <si>
    <t>Expected Reach</t>
  </si>
  <si>
    <t>Expected Results</t>
  </si>
  <si>
    <t>Success Metric</t>
  </si>
  <si>
    <t>1. Brand Awareness</t>
  </si>
  <si>
    <t>Top of Funnel</t>
  </si>
  <si>
    <t>Reach / Video Views</t>
  </si>
  <si>
    <t>Miami, 18–55, Health &amp; Wellness interest</t>
  </si>
  <si>
    <t>$150/mo</t>
  </si>
  <si>
    <t>Short video / Reel</t>
  </si>
  <si>
    <t>Get Beaming Miami seen by 50K+ unique users/mo</t>
  </si>
  <si>
    <t>~55,000</t>
  </si>
  <si>
    <t>~50K reach</t>
  </si>
  <si>
    <t>CPM &lt; $3</t>
  </si>
  <si>
    <t>2. Engagement / Education</t>
  </si>
  <si>
    <t>Mid Funnel</t>
  </si>
  <si>
    <t>Engagement</t>
  </si>
  <si>
    <t>Video viewers 50%+, IG profile visitors</t>
  </si>
  <si>
    <t>$100/mo</t>
  </si>
  <si>
    <t>Carousel / Story</t>
  </si>
  <si>
    <t>Educate on services; build trust before selling</t>
  </si>
  <si>
    <t>~20,000</t>
  </si>
  <si>
    <t>~500 engagements</t>
  </si>
  <si>
    <t>CPE &lt; $0.20</t>
  </si>
  <si>
    <t>3. Lead Gen (Qualified)</t>
  </si>
  <si>
    <t>Bottom of Funnel</t>
  </si>
  <si>
    <t>Leads (Instant Form)</t>
  </si>
  <si>
    <t>Lookalike of past clients + interest stack</t>
  </si>
  <si>
    <t>$300/mo</t>
  </si>
  <si>
    <t>Lead Ad with screening Qs</t>
  </si>
  <si>
    <t>Capture name, number, service interest, budget</t>
  </si>
  <si>
    <t>~15,000</t>
  </si>
  <si>
    <t>~30 leads</t>
  </si>
  <si>
    <t>CPL &lt; $10</t>
  </si>
  <si>
    <t>4. Retargeting – Website</t>
  </si>
  <si>
    <t>Retargeting</t>
  </si>
  <si>
    <t>Conversions</t>
  </si>
  <si>
    <t>Website visitors (30 days, no booking)</t>
  </si>
  <si>
    <t>Single image / Story</t>
  </si>
  <si>
    <t>Bring back people who visited but didn't book</t>
  </si>
  <si>
    <t>~5,000</t>
  </si>
  <si>
    <t>~15 bookings</t>
  </si>
  <si>
    <t>CPA &lt; $10</t>
  </si>
  <si>
    <t>5. Retargeting – Engagers</t>
  </si>
  <si>
    <t>Messages / DMs</t>
  </si>
  <si>
    <t>IG engagers + video viewers (60 days)</t>
  </si>
  <si>
    <t>DM opener / Story</t>
  </si>
  <si>
    <t>Start conversations with warm, interested users</t>
  </si>
  <si>
    <t>~8,000</t>
  </si>
  <si>
    <t>~40 convos</t>
  </si>
  <si>
    <t>Cost/convo &lt; $2.50</t>
  </si>
  <si>
    <t>TOTAL MONTHLY META BUDGET</t>
  </si>
  <si>
    <t>$800/month</t>
  </si>
  <si>
    <t>HOW THE NEW META PLAN IS DIFFERENT FROM WHAT FAILED</t>
  </si>
  <si>
    <t>Before (What Failed)</t>
  </si>
  <si>
    <t>After (New Plan)</t>
  </si>
  <si>
    <t>Why This Matters</t>
  </si>
  <si>
    <t>Cold audience → WhatsApp</t>
  </si>
  <si>
    <t>Funnel: Awareness → Engage → Retarget → Convert</t>
  </si>
  <si>
    <t>Warm audience converts 3–5x better than cold</t>
  </si>
  <si>
    <t>No lead qualifying questions</t>
  </si>
  <si>
    <t>Instant Form with: service, budget, location filter</t>
  </si>
  <si>
    <t>Pre-qualifying saves budget &amp; gets real intent</t>
  </si>
  <si>
    <t>No pixel or conversion tracking</t>
  </si>
  <si>
    <t>Meta Pixel + Conversion API fully installed</t>
  </si>
  <si>
    <t>Can optimize toward real bookings, not just clicks</t>
  </si>
  <si>
    <t>Broad interest targeting only</t>
  </si>
  <si>
    <t>Lookalike audiences from customer list</t>
  </si>
  <si>
    <t>Lookalikes outperform interest targeting by 2–4x</t>
  </si>
  <si>
    <t>Messages from cold strangers</t>
  </si>
  <si>
    <t>DMs only to retargeted warm audiences</t>
  </si>
  <si>
    <t>Higher response rate, lower cost, better leads</t>
  </si>
  <si>
    <t>All budget on one broken campaign</t>
  </si>
  <si>
    <t>Budget split across funnel stages</t>
  </si>
  <si>
    <t>Diversified spend reduces risk of total waste</t>
  </si>
  <si>
    <t>BEAMING MIAMI — COMBINED DIGITAL ADVERTISING STRATEGY</t>
  </si>
  <si>
    <t>Recommended total monthly investment: $2,500  |  Google Ads: Primary  |  Meta: Secondary (Support Channel)</t>
  </si>
  <si>
    <t>CHANNEL COMPARISON: GOOGLE ADS vs META</t>
  </si>
  <si>
    <t>Factor</t>
  </si>
  <si>
    <t>Google Ads</t>
  </si>
  <si>
    <t>Meta (Facebook/Instagram)</t>
  </si>
  <si>
    <t>Recommendation for Beaming Miami</t>
  </si>
  <si>
    <t>User Intent</t>
  </si>
  <si>
    <t>HIGH — already searching for service</t>
  </si>
  <si>
    <t>LOW — interrupted, not searching</t>
  </si>
  <si>
    <t>→ Google first for direct bookings</t>
  </si>
  <si>
    <t>Targeting</t>
  </si>
  <si>
    <t>Keyword intent + location</t>
  </si>
  <si>
    <t>Demographic + interests + behavior</t>
  </si>
  <si>
    <t>→ Both needed for full funnel</t>
  </si>
  <si>
    <t>Bottom funnel (ready to buy)</t>
  </si>
  <si>
    <t>Top/Mid funnel (awareness + retargeting)</t>
  </si>
  <si>
    <t>→ Google captures; Meta nurtures</t>
  </si>
  <si>
    <t>Conversion Tracking</t>
  </si>
  <si>
    <t>Full tracking to booking page</t>
  </si>
  <si>
    <t>Needs Pixel + CAPI setup</t>
  </si>
  <si>
    <t>→ Set up both before running either</t>
  </si>
  <si>
    <t>$18–$30 estimated</t>
  </si>
  <si>
    <t>$30–$80+ currently</t>
  </si>
  <si>
    <t>→ Google more efficient for now</t>
  </si>
  <si>
    <t>Creative Effort</t>
  </si>
  <si>
    <t>Text ads (lower effort)</t>
  </si>
  <si>
    <t>Video/Image ads (higher effort)</t>
  </si>
  <si>
    <t>→ Start Google; build Meta creatives</t>
  </si>
  <si>
    <t>Best Use Case</t>
  </si>
  <si>
    <t>Service bookings, local search</t>
  </si>
  <si>
    <t>Brand building, retargeting, social proof</t>
  </si>
  <si>
    <t>→ Complement each other</t>
  </si>
  <si>
    <t>$800</t>
  </si>
  <si>
    <t>→ Total: $2,500/month</t>
  </si>
  <si>
    <t>90-DAY LAUNCH ROADMAP</t>
  </si>
  <si>
    <t>Phase</t>
  </si>
  <si>
    <t>Timeline</t>
  </si>
  <si>
    <t>Channel</t>
  </si>
  <si>
    <t>Action Items</t>
  </si>
  <si>
    <t>Phase 1: Foundation</t>
  </si>
  <si>
    <t>Week 1–2</t>
  </si>
  <si>
    <t>Both</t>
  </si>
  <si>
    <t>Install Meta Pixel + Conversion API | Set up Google Tag Manager | Link GA4 | Create Google Business Profile | Build customer email list for lookalike audiences</t>
  </si>
  <si>
    <t>Phase 2: Google Launch</t>
  </si>
  <si>
    <t>Week 2–3</t>
  </si>
  <si>
    <t>Launch Brand Defense + IV Therapy Search campaigns | Set daily budget caps | Set up conversion tracking for bookings | Begin collecting keyword data</t>
  </si>
  <si>
    <t>Phase 3: Optimize Google</t>
  </si>
  <si>
    <t>Week 3–6</t>
  </si>
  <si>
    <t>Add remaining Google campaigns | Pause low-performing keywords | Expand winners | Add negative keywords | A/B test ad copy</t>
  </si>
  <si>
    <t>Phase 4: Meta Rebuild</t>
  </si>
  <si>
    <t>Week 4–6</t>
  </si>
  <si>
    <t>Meta</t>
  </si>
  <si>
    <t>Launch Awareness (video) campaign | Set up retargeting audiences from website | Create qualified lead gen campaign with screening form</t>
  </si>
  <si>
    <t>Phase 5: Full Funnel</t>
  </si>
  <si>
    <t>Month 2–3</t>
  </si>
  <si>
    <t>Retargeting live on both channels | Lookalike audiences built from bookings data | Weekly reporting | Scale budget on winning campaigns</t>
  </si>
  <si>
    <t>BUDGET SUMMARY &amp; PROJECTED ROI</t>
  </si>
  <si>
    <t>Est. Bookings/Mo</t>
  </si>
  <si>
    <t>Est. Revenue</t>
  </si>
  <si>
    <t>Est. ROAS</t>
  </si>
  <si>
    <t>Notes</t>
  </si>
  <si>
    <t>Google Ads (Search)</t>
  </si>
  <si>
    <t>Intent-based, high conversion rate</t>
  </si>
  <si>
    <t>Meta Ads (Rebuild)</t>
  </si>
  <si>
    <t>~$8,250</t>
  </si>
  <si>
    <t>~10.3x</t>
  </si>
  <si>
    <t>Warm audience retargeting + qualified leads</t>
  </si>
  <si>
    <t>TOTAL</t>
  </si>
  <si>
    <t>$2,500/month</t>
  </si>
  <si>
    <t>~147</t>
  </si>
  <si>
    <t>~$22,050</t>
  </si>
  <si>
    <t>~8.8x</t>
  </si>
  <si>
    <t>Conservative estimate at $150 avg ticket</t>
  </si>
  <si>
    <t>* Projections are estimates based on industry benchmarks for wellness/beauty services in Miami. Actual results depend on ad creative quality, landing page conversion rate, booking system, and competitive landscape. Track weekly and adjust.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</si>
</sst>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26">
    <font>
      <sz val="11.0"/>
      <color theme="1"/>
      <name val="Calibri"/>
      <scheme val="minor"/>
    </font>
    <font>
      <sz val="11.0"/>
      <color theme="1"/>
      <name val="Cambria"/>
    </font>
    <font>
      <b/>
      <sz val="14.0"/>
      <color rgb="FFFFFFFF"/>
      <name val="Cambria"/>
    </font>
    <font/>
    <font>
      <color theme="1"/>
      <name val="Cambria"/>
    </font>
    <font>
      <sz val="10.0"/>
      <color rgb="FFFFFFFF"/>
      <name val="Cambria"/>
    </font>
    <font>
      <b/>
      <sz val="10.0"/>
      <color rgb="FFFFFFFF"/>
      <name val="Cambria"/>
    </font>
    <font>
      <b/>
      <sz val="10.0"/>
      <color rgb="FF000000"/>
      <name val="Cambria"/>
    </font>
    <font>
      <sz val="10.0"/>
      <color rgb="FF000000"/>
      <name val="Cambria"/>
    </font>
    <font>
      <b/>
      <sz val="11.0"/>
      <color rgb="FF000000"/>
      <name val="Cambria"/>
    </font>
    <font>
      <b/>
      <sz val="11.0"/>
      <color rgb="FFFFFFFF"/>
      <name val="Cambria"/>
    </font>
    <font>
      <b/>
      <sz val="10.0"/>
      <color rgb="FFEA4335"/>
      <name val="Cambria"/>
    </font>
    <font>
      <b/>
      <sz val="10.0"/>
      <color rgb="FFFBBC04"/>
      <name val="Cambria"/>
    </font>
    <font>
      <b/>
      <sz val="10.0"/>
      <color rgb="FF34A853"/>
      <name val="Cambria"/>
    </font>
    <font>
      <b/>
      <sz val="10.0"/>
      <color rgb="FF1A4A8A"/>
      <name val="Cambria"/>
    </font>
    <font>
      <b/>
      <sz val="9.0"/>
      <color rgb="FFFFFFFF"/>
      <name val="Cambria"/>
    </font>
    <font>
      <b/>
      <sz val="9.0"/>
      <color rgb="FF000000"/>
      <name val="Cambria"/>
    </font>
    <font>
      <sz val="9.0"/>
      <color rgb="FF000000"/>
      <name val="Cambria"/>
    </font>
    <font>
      <b/>
      <sz val="11.0"/>
      <color rgb="FF1A73E8"/>
      <name val="Cambria"/>
    </font>
    <font>
      <b/>
      <sz val="11.0"/>
      <color rgb="FF34A853"/>
      <name val="Cambria"/>
    </font>
    <font>
      <i/>
      <sz val="10.0"/>
      <color rgb="FF000000"/>
      <name val="Cambria"/>
    </font>
    <font>
      <b/>
      <sz val="12.0"/>
      <color rgb="FF000000"/>
      <name val="Cambria"/>
    </font>
    <font>
      <b/>
      <sz val="11.0"/>
      <color rgb="FF0866FF"/>
      <name val="Cambria"/>
    </font>
    <font>
      <i/>
      <sz val="9.0"/>
      <color rgb="FF000000"/>
      <name val="Cambria"/>
    </font>
    <font>
      <b/>
      <i/>
      <sz val="9.0"/>
      <color rgb="FF000000"/>
      <name val="Cambria"/>
    </font>
    <font>
      <b/>
      <sz val="10.0"/>
      <color theme="1"/>
      <name val="Cambria"/>
    </font>
  </fonts>
  <fills count="16">
    <fill>
      <patternFill patternType="none"/>
    </fill>
    <fill>
      <patternFill patternType="lightGray"/>
    </fill>
    <fill>
      <patternFill patternType="solid">
        <fgColor rgb="FF1C2B4A"/>
        <bgColor rgb="FF1C2B4A"/>
      </patternFill>
    </fill>
    <fill>
      <patternFill patternType="solid">
        <fgColor rgb="FF2D4A8A"/>
        <bgColor rgb="FF2D4A8A"/>
      </patternFill>
    </fill>
    <fill>
      <patternFill patternType="solid">
        <fgColor rgb="FFFFFFFF"/>
        <bgColor rgb="FFFFFFFF"/>
      </patternFill>
    </fill>
    <fill>
      <patternFill patternType="solid">
        <fgColor rgb="FFFEF9E7"/>
        <bgColor rgb="FFFEF9E7"/>
      </patternFill>
    </fill>
    <fill>
      <patternFill patternType="solid">
        <fgColor rgb="FFFCE8E6"/>
        <bgColor rgb="FFFCE8E6"/>
      </patternFill>
    </fill>
    <fill>
      <patternFill patternType="solid">
        <fgColor rgb="FFE6F4EA"/>
        <bgColor rgb="FFE6F4EA"/>
      </patternFill>
    </fill>
    <fill>
      <patternFill patternType="solid">
        <fgColor rgb="FFF2F2F2"/>
        <bgColor rgb="FFF2F2F2"/>
      </patternFill>
    </fill>
    <fill>
      <patternFill patternType="solid">
        <fgColor rgb="FF1A73E8"/>
        <bgColor rgb="FF1A73E8"/>
      </patternFill>
    </fill>
    <fill>
      <patternFill patternType="solid">
        <fgColor rgb="FFE8F0FE"/>
        <bgColor rgb="FFE8F0FE"/>
      </patternFill>
    </fill>
    <fill>
      <patternFill patternType="solid">
        <fgColor rgb="FF0866FF"/>
        <bgColor rgb="FF0866FF"/>
      </patternFill>
    </fill>
    <fill>
      <patternFill patternType="solid">
        <fgColor rgb="FF0A52C4"/>
        <bgColor rgb="FF0A52C4"/>
      </patternFill>
    </fill>
    <fill>
      <patternFill patternType="solid">
        <fgColor rgb="FFEA4335"/>
        <bgColor rgb="FFEA4335"/>
      </patternFill>
    </fill>
    <fill>
      <patternFill patternType="solid">
        <fgColor rgb="FF34A853"/>
        <bgColor rgb="FF34A853"/>
      </patternFill>
    </fill>
    <fill>
      <patternFill patternType="solid">
        <fgColor rgb="FFE8F0FF"/>
        <bgColor rgb="FFE8F0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/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1" fillId="3" fontId="5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shrinkToFit="0" vertical="bottom" wrapText="0"/>
    </xf>
    <xf borderId="4" fillId="3" fontId="6" numFmtId="0" xfId="0" applyAlignment="1" applyBorder="1" applyFont="1">
      <alignment horizontal="center" shrinkToFit="0" vertical="center" wrapText="1"/>
    </xf>
    <xf borderId="5" fillId="5" fontId="7" numFmtId="0" xfId="0" applyAlignment="1" applyBorder="1" applyFill="1" applyFont="1">
      <alignment horizontal="left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5" fillId="5" fontId="8" numFmtId="164" xfId="0" applyAlignment="1" applyBorder="1" applyFont="1" applyNumberFormat="1">
      <alignment horizontal="center" shrinkToFit="0" vertical="center" wrapText="1"/>
    </xf>
    <xf borderId="5" fillId="6" fontId="7" numFmtId="0" xfId="0" applyAlignment="1" applyBorder="1" applyFill="1" applyFont="1">
      <alignment horizontal="left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5" fillId="6" fontId="8" numFmtId="164" xfId="0" applyAlignment="1" applyBorder="1" applyFont="1" applyNumberFormat="1">
      <alignment horizontal="center" shrinkToFit="0" vertical="center" wrapText="1"/>
    </xf>
    <xf borderId="5" fillId="7" fontId="7" numFmtId="0" xfId="0" applyAlignment="1" applyBorder="1" applyFill="1" applyFont="1">
      <alignment horizontal="left" shrinkToFit="0" vertical="center" wrapText="1"/>
    </xf>
    <xf borderId="5" fillId="7" fontId="8" numFmtId="0" xfId="0" applyAlignment="1" applyBorder="1" applyFont="1">
      <alignment horizontal="center" shrinkToFit="0" vertical="center" wrapText="1"/>
    </xf>
    <xf borderId="5" fillId="7" fontId="8" numFmtId="164" xfId="0" applyAlignment="1" applyBorder="1" applyFont="1" applyNumberFormat="1">
      <alignment horizontal="center" shrinkToFit="0" vertical="center" wrapText="1"/>
    </xf>
    <xf borderId="4" fillId="8" fontId="9" numFmtId="0" xfId="0" applyAlignment="1" applyBorder="1" applyFill="1" applyFont="1">
      <alignment horizontal="left" shrinkToFit="0" vertical="center" wrapText="0"/>
    </xf>
    <xf borderId="4" fillId="8" fontId="9" numFmtId="164" xfId="0" applyAlignment="1" applyBorder="1" applyFont="1" applyNumberFormat="1">
      <alignment horizontal="center" shrinkToFit="0" vertical="center" wrapText="0"/>
    </xf>
    <xf borderId="5" fillId="8" fontId="1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horizontal="left" shrinkToFit="0" vertical="center" wrapText="0"/>
    </xf>
    <xf borderId="5" fillId="4" fontId="11" numFmtId="0" xfId="0" applyAlignment="1" applyBorder="1" applyFont="1">
      <alignment horizontal="left" shrinkToFit="0" vertical="center" wrapText="0"/>
    </xf>
    <xf borderId="6" fillId="4" fontId="8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8" fillId="0" fontId="3" numFmtId="0" xfId="0" applyBorder="1" applyFont="1"/>
    <xf borderId="5" fillId="4" fontId="12" numFmtId="0" xfId="0" applyAlignment="1" applyBorder="1" applyFont="1">
      <alignment horizontal="left" shrinkToFit="0" vertical="center" wrapText="0"/>
    </xf>
    <xf borderId="5" fillId="4" fontId="13" numFmtId="0" xfId="0" applyAlignment="1" applyBorder="1" applyFont="1">
      <alignment horizontal="left" shrinkToFit="0" vertical="center" wrapText="0"/>
    </xf>
    <xf borderId="6" fillId="8" fontId="8" numFmtId="0" xfId="0" applyAlignment="1" applyBorder="1" applyFont="1">
      <alignment horizontal="left" shrinkToFit="0" vertical="center" wrapText="1"/>
    </xf>
    <xf borderId="1" fillId="9" fontId="2" numFmtId="0" xfId="0" applyAlignment="1" applyBorder="1" applyFill="1" applyFont="1">
      <alignment horizontal="center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9" fontId="10" numFmtId="0" xfId="0" applyAlignment="1" applyBorder="1" applyFont="1">
      <alignment horizontal="left" shrinkToFit="0" vertical="center" wrapText="0"/>
    </xf>
    <xf borderId="5" fillId="10" fontId="14" numFmtId="0" xfId="0" applyAlignment="1" applyBorder="1" applyFill="1" applyFont="1">
      <alignment horizontal="left" shrinkToFit="0" vertical="center" wrapText="0"/>
    </xf>
    <xf borderId="6" fillId="10" fontId="8" numFmtId="0" xfId="0" applyAlignment="1" applyBorder="1" applyFont="1">
      <alignment horizontal="left" shrinkToFit="0" vertical="center" wrapText="1"/>
    </xf>
    <xf borderId="4" fillId="3" fontId="15" numFmtId="0" xfId="0" applyAlignment="1" applyBorder="1" applyFont="1">
      <alignment horizontal="center" shrinkToFit="0" vertical="center" wrapText="1"/>
    </xf>
    <xf borderId="5" fillId="10" fontId="16" numFmtId="0" xfId="0" applyAlignment="1" applyBorder="1" applyFont="1">
      <alignment horizontal="left" shrinkToFit="0" vertical="center" wrapText="1"/>
    </xf>
    <xf borderId="5" fillId="10" fontId="17" numFmtId="0" xfId="0" applyAlignment="1" applyBorder="1" applyFont="1">
      <alignment horizontal="center" shrinkToFit="0" vertical="center" wrapText="1"/>
    </xf>
    <xf borderId="5" fillId="4" fontId="16" numFmtId="0" xfId="0" applyAlignment="1" applyBorder="1" applyFont="1">
      <alignment horizontal="left" shrinkToFit="0" vertical="center" wrapText="1"/>
    </xf>
    <xf borderId="5" fillId="4" fontId="17" numFmtId="0" xfId="0" applyAlignment="1" applyBorder="1" applyFont="1">
      <alignment horizontal="center" shrinkToFit="0" vertical="center" wrapText="1"/>
    </xf>
    <xf borderId="4" fillId="10" fontId="9" numFmtId="0" xfId="0" applyAlignment="1" applyBorder="1" applyFont="1">
      <alignment horizontal="left" shrinkToFit="0" vertical="center" wrapText="0"/>
    </xf>
    <xf borderId="4" fillId="10" fontId="1" numFmtId="0" xfId="0" applyAlignment="1" applyBorder="1" applyFont="1">
      <alignment shrinkToFit="0" vertical="bottom" wrapText="0"/>
    </xf>
    <xf borderId="4" fillId="10" fontId="18" numFmtId="0" xfId="0" applyAlignment="1" applyBorder="1" applyFont="1">
      <alignment horizontal="center" shrinkToFit="0" vertical="center" wrapText="0"/>
    </xf>
    <xf borderId="5" fillId="7" fontId="7" numFmtId="0" xfId="0" applyAlignment="1" applyBorder="1" applyFont="1">
      <alignment horizontal="left" shrinkToFit="0" vertical="center" wrapText="0"/>
    </xf>
    <xf borderId="5" fillId="7" fontId="19" numFmtId="0" xfId="0" applyAlignment="1" applyBorder="1" applyFont="1">
      <alignment horizontal="center" shrinkToFit="0" vertical="center" wrapText="0"/>
    </xf>
    <xf borderId="6" fillId="7" fontId="20" numFmtId="0" xfId="0" applyAlignment="1" applyBorder="1" applyFont="1">
      <alignment horizontal="left" shrinkToFit="0" vertical="center" wrapText="0"/>
    </xf>
    <xf borderId="6" fillId="4" fontId="20" numFmtId="0" xfId="0" applyAlignment="1" applyBorder="1" applyFont="1">
      <alignment horizontal="left" shrinkToFit="0" vertical="center" wrapText="0"/>
    </xf>
    <xf borderId="5" fillId="4" fontId="21" numFmtId="0" xfId="0" applyAlignment="1" applyBorder="1" applyFont="1">
      <alignment horizontal="center" shrinkToFit="0" vertical="center" wrapText="0"/>
    </xf>
    <xf borderId="6" fillId="8" fontId="8" numFmtId="0" xfId="0" applyAlignment="1" applyBorder="1" applyFont="1">
      <alignment horizontal="left" shrinkToFit="0" vertical="center" wrapText="0"/>
    </xf>
    <xf borderId="6" fillId="4" fontId="8" numFmtId="0" xfId="0" applyAlignment="1" applyBorder="1" applyFont="1">
      <alignment horizontal="left" shrinkToFit="0" vertical="center" wrapText="0"/>
    </xf>
    <xf borderId="1" fillId="11" fontId="2" numFmtId="0" xfId="0" applyAlignment="1" applyBorder="1" applyFill="1" applyFont="1">
      <alignment horizontal="center" shrinkToFit="0" vertical="center" wrapText="0"/>
    </xf>
    <xf borderId="1" fillId="12" fontId="6" numFmtId="0" xfId="0" applyAlignment="1" applyBorder="1" applyFill="1" applyFont="1">
      <alignment horizontal="center" shrinkToFit="0" vertical="center" wrapText="0"/>
    </xf>
    <xf borderId="1" fillId="11" fontId="10" numFmtId="0" xfId="0" applyAlignment="1" applyBorder="1" applyFont="1">
      <alignment horizontal="left" shrinkToFit="0" vertical="center" wrapText="0"/>
    </xf>
    <xf borderId="5" fillId="6" fontId="11" numFmtId="0" xfId="0" applyAlignment="1" applyBorder="1" applyFont="1">
      <alignment horizontal="left" shrinkToFit="0" vertical="center" wrapText="0"/>
    </xf>
    <xf borderId="6" fillId="6" fontId="8" numFmtId="0" xfId="0" applyAlignment="1" applyBorder="1" applyFont="1">
      <alignment horizontal="left" shrinkToFit="0" vertical="center" wrapText="1"/>
    </xf>
    <xf borderId="4" fillId="12" fontId="15" numFmtId="0" xfId="0" applyAlignment="1" applyBorder="1" applyFont="1">
      <alignment horizontal="center" shrinkToFit="0" vertical="center" wrapText="1"/>
    </xf>
    <xf borderId="4" fillId="10" fontId="22" numFmtId="0" xfId="0" applyAlignment="1" applyBorder="1" applyFont="1">
      <alignment horizontal="center" shrinkToFit="0" vertical="center" wrapText="0"/>
    </xf>
    <xf borderId="4" fillId="13" fontId="6" numFmtId="0" xfId="0" applyAlignment="1" applyBorder="1" applyFill="1" applyFont="1">
      <alignment horizontal="center" shrinkToFit="0" vertical="center" wrapText="0"/>
    </xf>
    <xf borderId="1" fillId="14" fontId="6" numFmtId="0" xfId="0" applyAlignment="1" applyBorder="1" applyFill="1" applyFont="1">
      <alignment horizontal="center" shrinkToFit="0" vertical="center" wrapText="0"/>
    </xf>
    <xf borderId="5" fillId="6" fontId="23" numFmtId="0" xfId="0" applyAlignment="1" applyBorder="1" applyFont="1">
      <alignment horizontal="left" shrinkToFit="0" vertical="center" wrapText="1"/>
    </xf>
    <xf borderId="6" fillId="7" fontId="16" numFmtId="0" xfId="0" applyAlignment="1" applyBorder="1" applyFont="1">
      <alignment horizontal="left" shrinkToFit="0" vertical="center" wrapText="1"/>
    </xf>
    <xf borderId="6" fillId="8" fontId="23" numFmtId="0" xfId="0" applyAlignment="1" applyBorder="1" applyFont="1">
      <alignment horizontal="left" shrinkToFit="0" vertical="center" wrapText="1"/>
    </xf>
    <xf borderId="6" fillId="4" fontId="23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4" fillId="3" fontId="10" numFmtId="0" xfId="0" applyAlignment="1" applyBorder="1" applyFont="1">
      <alignment horizontal="center" shrinkToFit="0" vertical="center" wrapText="0"/>
    </xf>
    <xf borderId="4" fillId="9" fontId="10" numFmtId="0" xfId="0" applyAlignment="1" applyBorder="1" applyFont="1">
      <alignment horizontal="center" shrinkToFit="0" vertical="center" wrapText="0"/>
    </xf>
    <xf borderId="4" fillId="11" fontId="10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horizontal="center" shrinkToFit="0" vertical="center" wrapText="0"/>
    </xf>
    <xf borderId="5" fillId="8" fontId="7" numFmtId="0" xfId="0" applyAlignment="1" applyBorder="1" applyFont="1">
      <alignment horizontal="left" shrinkToFit="0" vertical="center" wrapText="0"/>
    </xf>
    <xf borderId="5" fillId="15" fontId="17" numFmtId="0" xfId="0" applyAlignment="1" applyBorder="1" applyFill="1" applyFont="1">
      <alignment horizontal="center" shrinkToFit="0" vertical="center" wrapText="1"/>
    </xf>
    <xf borderId="6" fillId="7" fontId="24" numFmtId="0" xfId="0" applyAlignment="1" applyBorder="1" applyFont="1">
      <alignment horizontal="left" shrinkToFit="0" vertical="center" wrapText="1"/>
    </xf>
    <xf borderId="5" fillId="4" fontId="7" numFmtId="0" xfId="0" applyAlignment="1" applyBorder="1" applyFont="1">
      <alignment horizontal="left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5" fillId="10" fontId="7" numFmtId="0" xfId="0" applyAlignment="1" applyBorder="1" applyFont="1">
      <alignment horizontal="left" shrinkToFit="0" vertical="center" wrapText="1"/>
    </xf>
    <xf borderId="5" fillId="10" fontId="7" numFmtId="0" xfId="0" applyAlignment="1" applyBorder="1" applyFont="1">
      <alignment horizontal="center" shrinkToFit="0" vertical="center" wrapText="0"/>
    </xf>
    <xf borderId="6" fillId="10" fontId="17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center" shrinkToFit="0" vertical="center" wrapText="0"/>
    </xf>
    <xf borderId="6" fillId="7" fontId="17" numFmtId="0" xfId="0" applyAlignment="1" applyBorder="1" applyFont="1">
      <alignment horizontal="left" shrinkToFit="0" vertical="center" wrapText="1"/>
    </xf>
    <xf borderId="5" fillId="5" fontId="7" numFmtId="0" xfId="0" applyAlignment="1" applyBorder="1" applyFont="1">
      <alignment horizontal="center" shrinkToFit="0" vertical="center" wrapText="0"/>
    </xf>
    <xf borderId="6" fillId="5" fontId="17" numFmtId="0" xfId="0" applyAlignment="1" applyBorder="1" applyFont="1">
      <alignment horizontal="left" shrinkToFit="0" vertical="center" wrapText="1"/>
    </xf>
    <xf borderId="5" fillId="15" fontId="7" numFmtId="0" xfId="0" applyAlignment="1" applyBorder="1" applyFont="1">
      <alignment horizontal="left" shrinkToFit="0" vertical="center" wrapText="1"/>
    </xf>
    <xf borderId="5" fillId="15" fontId="7" numFmtId="0" xfId="0" applyAlignment="1" applyBorder="1" applyFont="1">
      <alignment horizontal="center" shrinkToFit="0" vertical="center" wrapText="0"/>
    </xf>
    <xf borderId="6" fillId="15" fontId="17" numFmtId="0" xfId="0" applyAlignment="1" applyBorder="1" applyFont="1">
      <alignment horizontal="left" shrinkToFit="0" vertical="center" wrapText="1"/>
    </xf>
    <xf borderId="5" fillId="8" fontId="7" numFmtId="0" xfId="0" applyAlignment="1" applyBorder="1" applyFont="1">
      <alignment horizontal="left" shrinkToFit="0" vertical="center" wrapText="1"/>
    </xf>
    <xf borderId="5" fillId="8" fontId="7" numFmtId="0" xfId="0" applyAlignment="1" applyBorder="1" applyFont="1">
      <alignment horizontal="center" shrinkToFit="0" vertical="center" wrapText="0"/>
    </xf>
    <xf borderId="6" fillId="8" fontId="17" numFmtId="0" xfId="0" applyAlignment="1" applyBorder="1" applyFont="1">
      <alignment horizontal="left" shrinkToFit="0" vertical="center" wrapText="1"/>
    </xf>
    <xf borderId="5" fillId="10" fontId="8" numFmtId="0" xfId="0" applyAlignment="1" applyBorder="1" applyFont="1">
      <alignment horizontal="left" shrinkToFit="0" vertical="center" wrapText="0"/>
    </xf>
    <xf borderId="5" fillId="10" fontId="8" numFmtId="0" xfId="0" applyAlignment="1" applyBorder="1" applyFont="1">
      <alignment horizontal="center" shrinkToFit="0" vertical="center" wrapText="0"/>
    </xf>
    <xf borderId="6" fillId="10" fontId="23" numFmtId="0" xfId="0" applyAlignment="1" applyBorder="1" applyFont="1">
      <alignment horizontal="left" shrinkToFit="0" vertical="center" wrapText="0"/>
    </xf>
    <xf borderId="5" fillId="15" fontId="8" numFmtId="0" xfId="0" applyAlignment="1" applyBorder="1" applyFont="1">
      <alignment horizontal="left" shrinkToFit="0" vertical="center" wrapText="0"/>
    </xf>
    <xf borderId="5" fillId="15" fontId="8" numFmtId="0" xfId="0" applyAlignment="1" applyBorder="1" applyFont="1">
      <alignment horizontal="center" shrinkToFit="0" vertical="center" wrapText="0"/>
    </xf>
    <xf borderId="6" fillId="15" fontId="23" numFmtId="0" xfId="0" applyAlignment="1" applyBorder="1" applyFont="1">
      <alignment horizontal="left" shrinkToFit="0" vertical="center" wrapText="0"/>
    </xf>
    <xf borderId="5" fillId="7" fontId="25" numFmtId="0" xfId="0" applyAlignment="1" applyBorder="1" applyFont="1">
      <alignment horizontal="center" shrinkToFit="0" vertical="center" wrapText="0"/>
    </xf>
    <xf borderId="5" fillId="7" fontId="13" numFmtId="0" xfId="0" applyAlignment="1" applyBorder="1" applyFont="1">
      <alignment horizontal="center" shrinkToFit="0" vertical="center" wrapText="0"/>
    </xf>
    <xf borderId="6" fillId="7" fontId="23" numFmtId="0" xfId="0" applyAlignment="1" applyBorder="1" applyFont="1">
      <alignment horizontal="left" shrinkToFit="0" vertical="center" wrapText="0"/>
    </xf>
    <xf borderId="6" fillId="5" fontId="2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4" width="14.0"/>
    <col customWidth="1" min="5" max="5" width="12.0"/>
    <col customWidth="1" min="6" max="6" width="14.0"/>
    <col customWidth="1" min="7" max="7" width="18.0"/>
    <col customWidth="1" min="8" max="8" width="14.0"/>
    <col customWidth="1" min="9" max="11" width="18.0"/>
    <col customWidth="1" min="12" max="12" width="12.0"/>
    <col customWidth="1" min="13" max="13" width="21.57"/>
    <col customWidth="1" min="14" max="26" width="8.71"/>
  </cols>
  <sheetData>
    <row r="1" ht="36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1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7.5" customHeight="1">
      <c r="A3" s="1"/>
      <c r="B3" s="7"/>
      <c r="C3" s="3"/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1.5" customHeight="1">
      <c r="A4" s="1"/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3.5" customHeight="1">
      <c r="A5" s="1"/>
      <c r="B5" s="9" t="s">
        <v>14</v>
      </c>
      <c r="C5" s="10" t="s">
        <v>15</v>
      </c>
      <c r="D5" s="11">
        <v>82.81</v>
      </c>
      <c r="E5" s="10">
        <v>40811.0</v>
      </c>
      <c r="F5" s="10">
        <v>30634.0</v>
      </c>
      <c r="G5" s="10" t="s">
        <v>6</v>
      </c>
      <c r="H5" s="10">
        <v>30634.0</v>
      </c>
      <c r="I5" s="11">
        <v>2.7</v>
      </c>
      <c r="J5" s="10" t="s">
        <v>16</v>
      </c>
      <c r="K5" s="10" t="s">
        <v>16</v>
      </c>
      <c r="L5" s="10" t="s">
        <v>17</v>
      </c>
      <c r="M5" s="10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3.5" customHeight="1">
      <c r="A6" s="1"/>
      <c r="B6" s="12" t="s">
        <v>19</v>
      </c>
      <c r="C6" s="13" t="s">
        <v>15</v>
      </c>
      <c r="D6" s="14">
        <v>218.84</v>
      </c>
      <c r="E6" s="13">
        <v>36623.0</v>
      </c>
      <c r="F6" s="13">
        <v>24065.0</v>
      </c>
      <c r="G6" s="13" t="s">
        <v>20</v>
      </c>
      <c r="H6" s="13" t="s">
        <v>21</v>
      </c>
      <c r="I6" s="13" t="s">
        <v>16</v>
      </c>
      <c r="J6" s="13">
        <v>3.0</v>
      </c>
      <c r="K6" s="14">
        <v>72.95</v>
      </c>
      <c r="L6" s="13" t="s">
        <v>22</v>
      </c>
      <c r="M6" s="13" t="s">
        <v>23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3.5" customHeight="1">
      <c r="A7" s="1"/>
      <c r="B7" s="15" t="s">
        <v>24</v>
      </c>
      <c r="C7" s="16" t="s">
        <v>15</v>
      </c>
      <c r="D7" s="17">
        <v>431.97</v>
      </c>
      <c r="E7" s="16">
        <v>22453.0</v>
      </c>
      <c r="F7" s="16">
        <v>7979.0</v>
      </c>
      <c r="G7" s="16" t="s">
        <v>25</v>
      </c>
      <c r="H7" s="16">
        <v>96.0</v>
      </c>
      <c r="I7" s="17">
        <v>4.5</v>
      </c>
      <c r="J7" s="16">
        <v>96.0</v>
      </c>
      <c r="K7" s="17">
        <v>4.5</v>
      </c>
      <c r="L7" s="16" t="s">
        <v>26</v>
      </c>
      <c r="M7" s="16" t="s">
        <v>27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3.5" customHeight="1">
      <c r="A8" s="1"/>
      <c r="B8" s="9" t="s">
        <v>28</v>
      </c>
      <c r="C8" s="10" t="s">
        <v>15</v>
      </c>
      <c r="D8" s="11">
        <v>170.88</v>
      </c>
      <c r="E8" s="10">
        <v>17508.0</v>
      </c>
      <c r="F8" s="10">
        <v>6817.0</v>
      </c>
      <c r="G8" s="10" t="s">
        <v>29</v>
      </c>
      <c r="H8" s="10">
        <v>675.0</v>
      </c>
      <c r="I8" s="11">
        <v>0.25</v>
      </c>
      <c r="J8" s="10" t="s">
        <v>16</v>
      </c>
      <c r="K8" s="10" t="s">
        <v>16</v>
      </c>
      <c r="L8" s="10" t="s">
        <v>30</v>
      </c>
      <c r="M8" s="10" t="s">
        <v>31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1"/>
      <c r="B9" s="18" t="s">
        <v>32</v>
      </c>
      <c r="C9" s="19">
        <f>SUM(C5:C8)</f>
        <v>0</v>
      </c>
      <c r="D9" s="20"/>
      <c r="E9" s="20"/>
      <c r="F9" s="20"/>
      <c r="G9" s="20"/>
      <c r="H9" s="20"/>
      <c r="I9" s="20"/>
      <c r="J9" s="20"/>
      <c r="K9" s="20"/>
      <c r="L9" s="20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5.5" customHeight="1">
      <c r="A11" s="1"/>
      <c r="B11" s="21" t="s">
        <v>33</v>
      </c>
      <c r="C11" s="3"/>
      <c r="D11" s="3"/>
      <c r="E11" s="3"/>
      <c r="F11" s="3"/>
      <c r="G11" s="3"/>
      <c r="H11" s="3"/>
      <c r="I11" s="3"/>
      <c r="J11" s="3"/>
      <c r="K11" s="3"/>
      <c r="L11" s="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5.5" customHeight="1">
      <c r="A12" s="1"/>
      <c r="B12" s="22" t="s">
        <v>34</v>
      </c>
      <c r="C12" s="23" t="s">
        <v>35</v>
      </c>
      <c r="D12" s="24"/>
      <c r="E12" s="24"/>
      <c r="F12" s="24"/>
      <c r="G12" s="24"/>
      <c r="H12" s="24"/>
      <c r="I12" s="24"/>
      <c r="J12" s="24"/>
      <c r="K12" s="24"/>
      <c r="L12" s="2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5.5" customHeight="1">
      <c r="A13" s="1"/>
      <c r="B13" s="22" t="s">
        <v>36</v>
      </c>
      <c r="C13" s="23" t="s">
        <v>37</v>
      </c>
      <c r="D13" s="24"/>
      <c r="E13" s="24"/>
      <c r="F13" s="24"/>
      <c r="G13" s="24"/>
      <c r="H13" s="24"/>
      <c r="I13" s="24"/>
      <c r="J13" s="24"/>
      <c r="K13" s="24"/>
      <c r="L13" s="2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5.5" customHeight="1">
      <c r="A14" s="1"/>
      <c r="B14" s="26" t="s">
        <v>38</v>
      </c>
      <c r="C14" s="23" t="s">
        <v>39</v>
      </c>
      <c r="D14" s="24"/>
      <c r="E14" s="24"/>
      <c r="F14" s="24"/>
      <c r="G14" s="24"/>
      <c r="H14" s="24"/>
      <c r="I14" s="24"/>
      <c r="J14" s="24"/>
      <c r="K14" s="24"/>
      <c r="L14" s="2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5.5" customHeight="1">
      <c r="A15" s="1"/>
      <c r="B15" s="26" t="s">
        <v>40</v>
      </c>
      <c r="C15" s="23" t="s">
        <v>41</v>
      </c>
      <c r="D15" s="24"/>
      <c r="E15" s="24"/>
      <c r="F15" s="24"/>
      <c r="G15" s="24"/>
      <c r="H15" s="24"/>
      <c r="I15" s="24"/>
      <c r="J15" s="24"/>
      <c r="K15" s="24"/>
      <c r="L15" s="2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5.5" customHeight="1">
      <c r="A16" s="1"/>
      <c r="B16" s="27" t="s">
        <v>42</v>
      </c>
      <c r="C16" s="23" t="s">
        <v>43</v>
      </c>
      <c r="D16" s="24"/>
      <c r="E16" s="24"/>
      <c r="F16" s="24"/>
      <c r="G16" s="24"/>
      <c r="H16" s="24"/>
      <c r="I16" s="24"/>
      <c r="J16" s="24"/>
      <c r="K16" s="24"/>
      <c r="L16" s="2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9.75" customHeight="1">
      <c r="A17" s="1"/>
      <c r="B17" s="7"/>
      <c r="C17" s="3"/>
      <c r="D17" s="3"/>
      <c r="E17" s="3"/>
      <c r="F17" s="3"/>
      <c r="G17" s="3"/>
      <c r="H17" s="3"/>
      <c r="I17" s="3"/>
      <c r="J17" s="3"/>
      <c r="K17" s="3"/>
      <c r="L17" s="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5.5" customHeight="1">
      <c r="A18" s="1"/>
      <c r="B18" s="21" t="s">
        <v>44</v>
      </c>
      <c r="C18" s="3"/>
      <c r="D18" s="3"/>
      <c r="E18" s="3"/>
      <c r="F18" s="3"/>
      <c r="G18" s="3"/>
      <c r="H18" s="3"/>
      <c r="I18" s="3"/>
      <c r="J18" s="3"/>
      <c r="K18" s="3"/>
      <c r="L18" s="4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1.75" customHeight="1">
      <c r="A19" s="1"/>
      <c r="B19" s="28" t="s">
        <v>45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1.75" customHeight="1">
      <c r="A20" s="1"/>
      <c r="B20" s="23" t="s">
        <v>46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1.75" customHeight="1">
      <c r="A21" s="1"/>
      <c r="B21" s="28" t="s">
        <v>47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1.75" customHeight="1">
      <c r="A22" s="1"/>
      <c r="B22" s="23" t="s">
        <v>48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1.75" customHeight="1">
      <c r="A23" s="1"/>
      <c r="B23" s="28" t="s">
        <v>49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1.75" customHeight="1">
      <c r="A24" s="1"/>
      <c r="B24" s="23" t="s">
        <v>50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7">
    <mergeCell ref="B1:L1"/>
    <mergeCell ref="B2:L2"/>
    <mergeCell ref="B3:L3"/>
    <mergeCell ref="B11:L11"/>
    <mergeCell ref="C12:L12"/>
    <mergeCell ref="C13:L13"/>
    <mergeCell ref="C14:L14"/>
    <mergeCell ref="B22:L22"/>
    <mergeCell ref="B23:L23"/>
    <mergeCell ref="B24:L24"/>
    <mergeCell ref="C15:L15"/>
    <mergeCell ref="C16:L16"/>
    <mergeCell ref="B17:L17"/>
    <mergeCell ref="B18:L18"/>
    <mergeCell ref="B19:L19"/>
    <mergeCell ref="B20:L20"/>
    <mergeCell ref="B21:L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22.0"/>
    <col customWidth="1" min="4" max="5" width="14.0"/>
    <col customWidth="1" min="6" max="6" width="23.57"/>
    <col customWidth="1" min="7" max="7" width="16.0"/>
    <col customWidth="1" min="8" max="8" width="18.0"/>
    <col customWidth="1" min="9" max="11" width="16.0"/>
    <col customWidth="1" min="12" max="26" width="8.71"/>
  </cols>
  <sheetData>
    <row r="1" ht="36.0" customHeight="1">
      <c r="A1" s="1"/>
      <c r="B1" s="29" t="s">
        <v>51</v>
      </c>
      <c r="C1" s="3"/>
      <c r="D1" s="3"/>
      <c r="E1" s="3"/>
      <c r="F1" s="3"/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1"/>
      <c r="B2" s="30" t="s">
        <v>52</v>
      </c>
      <c r="C2" s="3"/>
      <c r="D2" s="3"/>
      <c r="E2" s="3"/>
      <c r="F2" s="3"/>
      <c r="G2" s="3"/>
      <c r="H2" s="3"/>
      <c r="I2" s="3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5.5" customHeight="1">
      <c r="A4" s="1"/>
      <c r="B4" s="31" t="s">
        <v>53</v>
      </c>
      <c r="C4" s="3"/>
      <c r="D4" s="3"/>
      <c r="E4" s="3"/>
      <c r="F4" s="3"/>
      <c r="G4" s="3"/>
      <c r="H4" s="3"/>
      <c r="I4" s="3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0.0" customHeight="1">
      <c r="A5" s="1"/>
      <c r="B5" s="32" t="s">
        <v>54</v>
      </c>
      <c r="C5" s="33" t="s">
        <v>55</v>
      </c>
      <c r="D5" s="24"/>
      <c r="E5" s="24"/>
      <c r="F5" s="24"/>
      <c r="G5" s="24"/>
      <c r="H5" s="24"/>
      <c r="I5" s="24"/>
      <c r="J5" s="24"/>
      <c r="K5" s="2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0.0" customHeight="1">
      <c r="A6" s="1"/>
      <c r="B6" s="32" t="s">
        <v>56</v>
      </c>
      <c r="C6" s="23" t="s">
        <v>57</v>
      </c>
      <c r="D6" s="24"/>
      <c r="E6" s="24"/>
      <c r="F6" s="24"/>
      <c r="G6" s="24"/>
      <c r="H6" s="24"/>
      <c r="I6" s="24"/>
      <c r="J6" s="24"/>
      <c r="K6" s="2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0.0" customHeight="1">
      <c r="A7" s="1"/>
      <c r="B7" s="32" t="s">
        <v>58</v>
      </c>
      <c r="C7" s="33" t="s">
        <v>59</v>
      </c>
      <c r="D7" s="24"/>
      <c r="E7" s="24"/>
      <c r="F7" s="24"/>
      <c r="G7" s="24"/>
      <c r="H7" s="24"/>
      <c r="I7" s="24"/>
      <c r="J7" s="24"/>
      <c r="K7" s="2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0.0" customHeight="1">
      <c r="A8" s="1"/>
      <c r="B8" s="32" t="s">
        <v>60</v>
      </c>
      <c r="C8" s="23" t="s">
        <v>61</v>
      </c>
      <c r="D8" s="24"/>
      <c r="E8" s="24"/>
      <c r="F8" s="24"/>
      <c r="G8" s="24"/>
      <c r="H8" s="24"/>
      <c r="I8" s="24"/>
      <c r="J8" s="24"/>
      <c r="K8" s="2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0.0" customHeight="1">
      <c r="A9" s="1"/>
      <c r="B9" s="32" t="s">
        <v>62</v>
      </c>
      <c r="C9" s="33" t="s">
        <v>63</v>
      </c>
      <c r="D9" s="24"/>
      <c r="E9" s="24"/>
      <c r="F9" s="24"/>
      <c r="G9" s="24"/>
      <c r="H9" s="24"/>
      <c r="I9" s="24"/>
      <c r="J9" s="24"/>
      <c r="K9" s="2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0.0" customHeight="1">
      <c r="A10" s="1"/>
      <c r="B10" s="32" t="s">
        <v>64</v>
      </c>
      <c r="C10" s="23" t="s">
        <v>65</v>
      </c>
      <c r="D10" s="24"/>
      <c r="E10" s="24"/>
      <c r="F10" s="24"/>
      <c r="G10" s="24"/>
      <c r="H10" s="24"/>
      <c r="I10" s="24"/>
      <c r="J10" s="24"/>
      <c r="K10" s="2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5.5" customHeight="1">
      <c r="A12" s="1"/>
      <c r="B12" s="31" t="s">
        <v>66</v>
      </c>
      <c r="C12" s="3"/>
      <c r="D12" s="3"/>
      <c r="E12" s="3"/>
      <c r="F12" s="3"/>
      <c r="G12" s="3"/>
      <c r="H12" s="3"/>
      <c r="I12" s="3"/>
      <c r="J12" s="3"/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1.5" customHeight="1">
      <c r="A13" s="1"/>
      <c r="B13" s="34" t="s">
        <v>67</v>
      </c>
      <c r="C13" s="34" t="s">
        <v>68</v>
      </c>
      <c r="D13" s="34" t="s">
        <v>69</v>
      </c>
      <c r="E13" s="34" t="s">
        <v>70</v>
      </c>
      <c r="F13" s="34" t="s">
        <v>71</v>
      </c>
      <c r="G13" s="34" t="s">
        <v>72</v>
      </c>
      <c r="H13" s="34" t="s">
        <v>73</v>
      </c>
      <c r="I13" s="34" t="s">
        <v>74</v>
      </c>
      <c r="J13" s="34" t="s">
        <v>75</v>
      </c>
      <c r="K13" s="34" t="s">
        <v>76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6.0" customHeight="1">
      <c r="A14" s="1"/>
      <c r="B14" s="35" t="s">
        <v>77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6" t="s">
        <v>83</v>
      </c>
      <c r="I14" s="36" t="s">
        <v>84</v>
      </c>
      <c r="J14" s="36" t="s">
        <v>85</v>
      </c>
      <c r="K14" s="36" t="s">
        <v>86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6.0" customHeight="1">
      <c r="A15" s="1"/>
      <c r="B15" s="37" t="s">
        <v>87</v>
      </c>
      <c r="C15" s="38" t="s">
        <v>88</v>
      </c>
      <c r="D15" s="38" t="s">
        <v>79</v>
      </c>
      <c r="E15" s="38" t="s">
        <v>89</v>
      </c>
      <c r="F15" s="38" t="s">
        <v>90</v>
      </c>
      <c r="G15" s="38" t="s">
        <v>91</v>
      </c>
      <c r="H15" s="38" t="s">
        <v>92</v>
      </c>
      <c r="I15" s="38" t="s">
        <v>93</v>
      </c>
      <c r="J15" s="38" t="s">
        <v>94</v>
      </c>
      <c r="K15" s="38" t="s">
        <v>95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6.0" customHeight="1">
      <c r="A16" s="1"/>
      <c r="B16" s="35" t="s">
        <v>96</v>
      </c>
      <c r="C16" s="36" t="s">
        <v>97</v>
      </c>
      <c r="D16" s="36" t="s">
        <v>79</v>
      </c>
      <c r="E16" s="36" t="s">
        <v>98</v>
      </c>
      <c r="F16" s="36" t="s">
        <v>99</v>
      </c>
      <c r="G16" s="36" t="s">
        <v>91</v>
      </c>
      <c r="H16" s="36" t="s">
        <v>100</v>
      </c>
      <c r="I16" s="36" t="s">
        <v>101</v>
      </c>
      <c r="J16" s="36" t="s">
        <v>102</v>
      </c>
      <c r="K16" s="36" t="s">
        <v>103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6.0" customHeight="1">
      <c r="A17" s="1"/>
      <c r="B17" s="37" t="s">
        <v>104</v>
      </c>
      <c r="C17" s="38" t="s">
        <v>105</v>
      </c>
      <c r="D17" s="38" t="s">
        <v>106</v>
      </c>
      <c r="E17" s="38" t="s">
        <v>107</v>
      </c>
      <c r="F17" s="38" t="s">
        <v>108</v>
      </c>
      <c r="G17" s="38" t="s">
        <v>109</v>
      </c>
      <c r="H17" s="38" t="s">
        <v>110</v>
      </c>
      <c r="I17" s="38" t="s">
        <v>111</v>
      </c>
      <c r="J17" s="38" t="s">
        <v>112</v>
      </c>
      <c r="K17" s="38" t="s">
        <v>113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6.0" customHeight="1">
      <c r="A18" s="1"/>
      <c r="B18" s="35" t="s">
        <v>114</v>
      </c>
      <c r="C18" s="36" t="s">
        <v>115</v>
      </c>
      <c r="D18" s="36" t="s">
        <v>116</v>
      </c>
      <c r="E18" s="36" t="s">
        <v>80</v>
      </c>
      <c r="F18" s="36" t="s">
        <v>117</v>
      </c>
      <c r="G18" s="36" t="s">
        <v>118</v>
      </c>
      <c r="H18" s="36" t="s">
        <v>119</v>
      </c>
      <c r="I18" s="36" t="s">
        <v>120</v>
      </c>
      <c r="J18" s="36" t="s">
        <v>121</v>
      </c>
      <c r="K18" s="36" t="s">
        <v>122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7.75" customHeight="1">
      <c r="A19" s="1"/>
      <c r="B19" s="39" t="s">
        <v>123</v>
      </c>
      <c r="C19" s="40"/>
      <c r="D19" s="40"/>
      <c r="E19" s="41" t="s">
        <v>124</v>
      </c>
      <c r="F19" s="40"/>
      <c r="G19" s="40"/>
      <c r="H19" s="40"/>
      <c r="I19" s="40"/>
      <c r="J19" s="40"/>
      <c r="K19" s="4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customHeight="1">
      <c r="A21" s="1"/>
      <c r="B21" s="31" t="s">
        <v>125</v>
      </c>
      <c r="C21" s="3"/>
      <c r="D21" s="3"/>
      <c r="E21" s="3"/>
      <c r="F21" s="3"/>
      <c r="G21" s="3"/>
      <c r="H21" s="3"/>
      <c r="I21" s="3"/>
      <c r="J21" s="3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5.5" customHeight="1">
      <c r="A22" s="1"/>
      <c r="B22" s="42" t="s">
        <v>126</v>
      </c>
      <c r="C22" s="43" t="s">
        <v>127</v>
      </c>
      <c r="D22" s="44" t="s">
        <v>128</v>
      </c>
      <c r="E22" s="24"/>
      <c r="F22" s="24"/>
      <c r="G22" s="24"/>
      <c r="H22" s="24"/>
      <c r="I22" s="24"/>
      <c r="J22" s="24"/>
      <c r="K22" s="2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1"/>
      <c r="B23" s="42" t="s">
        <v>129</v>
      </c>
      <c r="C23" s="43" t="s">
        <v>130</v>
      </c>
      <c r="D23" s="45" t="s">
        <v>131</v>
      </c>
      <c r="E23" s="24"/>
      <c r="F23" s="24"/>
      <c r="G23" s="24"/>
      <c r="H23" s="24"/>
      <c r="I23" s="24"/>
      <c r="J23" s="24"/>
      <c r="K23" s="2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5.5" customHeight="1">
      <c r="A24" s="1"/>
      <c r="B24" s="42" t="s">
        <v>132</v>
      </c>
      <c r="C24" s="43" t="s">
        <v>133</v>
      </c>
      <c r="D24" s="44" t="s">
        <v>134</v>
      </c>
      <c r="E24" s="24"/>
      <c r="F24" s="24"/>
      <c r="G24" s="24"/>
      <c r="H24" s="24"/>
      <c r="I24" s="24"/>
      <c r="J24" s="24"/>
      <c r="K24" s="2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customHeight="1">
      <c r="A25" s="1"/>
      <c r="B25" s="42" t="s">
        <v>135</v>
      </c>
      <c r="C25" s="43" t="s">
        <v>136</v>
      </c>
      <c r="D25" s="45" t="s">
        <v>137</v>
      </c>
      <c r="E25" s="24"/>
      <c r="F25" s="24"/>
      <c r="G25" s="24"/>
      <c r="H25" s="24"/>
      <c r="I25" s="24"/>
      <c r="J25" s="24"/>
      <c r="K25" s="2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5.5" customHeight="1">
      <c r="A26" s="1"/>
      <c r="B26" s="42" t="s">
        <v>138</v>
      </c>
      <c r="C26" s="43" t="s">
        <v>139</v>
      </c>
      <c r="D26" s="44" t="s">
        <v>140</v>
      </c>
      <c r="E26" s="24"/>
      <c r="F26" s="24"/>
      <c r="G26" s="24"/>
      <c r="H26" s="24"/>
      <c r="I26" s="24"/>
      <c r="J26" s="24"/>
      <c r="K26" s="2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customHeight="1">
      <c r="A27" s="1"/>
      <c r="B27" s="42" t="s">
        <v>141</v>
      </c>
      <c r="C27" s="43" t="s">
        <v>142</v>
      </c>
      <c r="D27" s="45" t="s">
        <v>143</v>
      </c>
      <c r="E27" s="24"/>
      <c r="F27" s="24"/>
      <c r="G27" s="24"/>
      <c r="H27" s="24"/>
      <c r="I27" s="24"/>
      <c r="J27" s="24"/>
      <c r="K27" s="2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5.5" customHeight="1">
      <c r="A28" s="1"/>
      <c r="B28" s="21" t="s">
        <v>144</v>
      </c>
      <c r="C28" s="3"/>
      <c r="D28" s="3"/>
      <c r="E28" s="3"/>
      <c r="F28" s="3"/>
      <c r="G28" s="3"/>
      <c r="H28" s="3"/>
      <c r="I28" s="3"/>
      <c r="J28" s="3"/>
      <c r="K28" s="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1.75" customHeight="1">
      <c r="A29" s="1"/>
      <c r="B29" s="46" t="s">
        <v>145</v>
      </c>
      <c r="C29" s="47" t="s">
        <v>146</v>
      </c>
      <c r="D29" s="24"/>
      <c r="E29" s="24"/>
      <c r="F29" s="24"/>
      <c r="G29" s="24"/>
      <c r="H29" s="24"/>
      <c r="I29" s="24"/>
      <c r="J29" s="24"/>
      <c r="K29" s="2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1.75" customHeight="1">
      <c r="A30" s="1"/>
      <c r="B30" s="46" t="s">
        <v>145</v>
      </c>
      <c r="C30" s="48" t="s">
        <v>147</v>
      </c>
      <c r="D30" s="24"/>
      <c r="E30" s="24"/>
      <c r="F30" s="24"/>
      <c r="G30" s="24"/>
      <c r="H30" s="24"/>
      <c r="I30" s="24"/>
      <c r="J30" s="24"/>
      <c r="K30" s="2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1.75" customHeight="1">
      <c r="A31" s="1"/>
      <c r="B31" s="46" t="s">
        <v>145</v>
      </c>
      <c r="C31" s="47" t="s">
        <v>148</v>
      </c>
      <c r="D31" s="24"/>
      <c r="E31" s="24"/>
      <c r="F31" s="24"/>
      <c r="G31" s="24"/>
      <c r="H31" s="24"/>
      <c r="I31" s="24"/>
      <c r="J31" s="24"/>
      <c r="K31" s="2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1.75" customHeight="1">
      <c r="A32" s="1"/>
      <c r="B32" s="46" t="s">
        <v>145</v>
      </c>
      <c r="C32" s="48" t="s">
        <v>149</v>
      </c>
      <c r="D32" s="24"/>
      <c r="E32" s="24"/>
      <c r="F32" s="24"/>
      <c r="G32" s="24"/>
      <c r="H32" s="24"/>
      <c r="I32" s="24"/>
      <c r="J32" s="24"/>
      <c r="K32" s="2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1.75" customHeight="1">
      <c r="A33" s="1"/>
      <c r="B33" s="46" t="s">
        <v>145</v>
      </c>
      <c r="C33" s="47" t="s">
        <v>150</v>
      </c>
      <c r="D33" s="24"/>
      <c r="E33" s="24"/>
      <c r="F33" s="24"/>
      <c r="G33" s="24"/>
      <c r="H33" s="24"/>
      <c r="I33" s="24"/>
      <c r="J33" s="24"/>
      <c r="K33" s="2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1.75" customHeight="1">
      <c r="A34" s="1"/>
      <c r="B34" s="46" t="s">
        <v>145</v>
      </c>
      <c r="C34" s="48" t="s">
        <v>151</v>
      </c>
      <c r="D34" s="24"/>
      <c r="E34" s="24"/>
      <c r="F34" s="24"/>
      <c r="G34" s="24"/>
      <c r="H34" s="24"/>
      <c r="I34" s="24"/>
      <c r="J34" s="24"/>
      <c r="K34" s="2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1.75" customHeight="1">
      <c r="A35" s="1"/>
      <c r="B35" s="46" t="s">
        <v>145</v>
      </c>
      <c r="C35" s="47" t="s">
        <v>152</v>
      </c>
      <c r="D35" s="24"/>
      <c r="E35" s="24"/>
      <c r="F35" s="24"/>
      <c r="G35" s="24"/>
      <c r="H35" s="24"/>
      <c r="I35" s="24"/>
      <c r="J35" s="24"/>
      <c r="K35" s="2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1.75" customHeight="1">
      <c r="A36" s="1"/>
      <c r="B36" s="46" t="s">
        <v>145</v>
      </c>
      <c r="C36" s="48" t="s">
        <v>153</v>
      </c>
      <c r="D36" s="24"/>
      <c r="E36" s="24"/>
      <c r="F36" s="24"/>
      <c r="G36" s="24"/>
      <c r="H36" s="24"/>
      <c r="I36" s="24"/>
      <c r="J36" s="24"/>
      <c r="K36" s="2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1.75" customHeight="1">
      <c r="A37" s="1"/>
      <c r="B37" s="46" t="s">
        <v>145</v>
      </c>
      <c r="C37" s="47" t="s">
        <v>154</v>
      </c>
      <c r="D37" s="24"/>
      <c r="E37" s="24"/>
      <c r="F37" s="24"/>
      <c r="G37" s="24"/>
      <c r="H37" s="24"/>
      <c r="I37" s="24"/>
      <c r="J37" s="24"/>
      <c r="K37" s="2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7">
    <mergeCell ref="B1:K1"/>
    <mergeCell ref="B2:K2"/>
    <mergeCell ref="B4:K4"/>
    <mergeCell ref="C5:K5"/>
    <mergeCell ref="C6:K6"/>
    <mergeCell ref="C7:K7"/>
    <mergeCell ref="C8:K8"/>
    <mergeCell ref="C9:K9"/>
    <mergeCell ref="C10:K10"/>
    <mergeCell ref="B12:K12"/>
    <mergeCell ref="B21:K21"/>
    <mergeCell ref="D22:K22"/>
    <mergeCell ref="D23:K23"/>
    <mergeCell ref="D24:K24"/>
    <mergeCell ref="C32:K32"/>
    <mergeCell ref="C33:K33"/>
    <mergeCell ref="C34:K34"/>
    <mergeCell ref="C35:K35"/>
    <mergeCell ref="C36:K36"/>
    <mergeCell ref="C37:K37"/>
    <mergeCell ref="D25:K25"/>
    <mergeCell ref="D26:K26"/>
    <mergeCell ref="D27:K27"/>
    <mergeCell ref="B28:K28"/>
    <mergeCell ref="C29:K29"/>
    <mergeCell ref="C30:K30"/>
    <mergeCell ref="C31:K3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20.0"/>
    <col customWidth="1" min="4" max="4" width="14.0"/>
    <col customWidth="1" min="5" max="6" width="16.0"/>
    <col customWidth="1" min="7" max="7" width="18.0"/>
    <col customWidth="1" min="8" max="9" width="16.0"/>
    <col customWidth="1" min="10" max="10" width="14.0"/>
    <col customWidth="1" min="11" max="11" width="16.0"/>
    <col customWidth="1" min="12" max="26" width="8.71"/>
  </cols>
  <sheetData>
    <row r="1" ht="36.0" customHeight="1">
      <c r="A1" s="1"/>
      <c r="B1" s="49" t="s">
        <v>155</v>
      </c>
      <c r="C1" s="3"/>
      <c r="D1" s="3"/>
      <c r="E1" s="3"/>
      <c r="F1" s="3"/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1"/>
      <c r="B2" s="50" t="s">
        <v>156</v>
      </c>
      <c r="C2" s="3"/>
      <c r="D2" s="3"/>
      <c r="E2" s="3"/>
      <c r="F2" s="3"/>
      <c r="G2" s="3"/>
      <c r="H2" s="3"/>
      <c r="I2" s="3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5.5" customHeight="1">
      <c r="A4" s="1"/>
      <c r="B4" s="51" t="s">
        <v>157</v>
      </c>
      <c r="C4" s="3"/>
      <c r="D4" s="3"/>
      <c r="E4" s="3"/>
      <c r="F4" s="3"/>
      <c r="G4" s="3"/>
      <c r="H4" s="3"/>
      <c r="I4" s="3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7.75" customHeight="1">
      <c r="A5" s="1"/>
      <c r="B5" s="52" t="s">
        <v>158</v>
      </c>
      <c r="C5" s="53" t="s">
        <v>159</v>
      </c>
      <c r="D5" s="24"/>
      <c r="E5" s="24"/>
      <c r="F5" s="24"/>
      <c r="G5" s="24"/>
      <c r="H5" s="24"/>
      <c r="I5" s="24"/>
      <c r="J5" s="24"/>
      <c r="K5" s="2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75" customHeight="1">
      <c r="A6" s="1"/>
      <c r="B6" s="52" t="s">
        <v>160</v>
      </c>
      <c r="C6" s="23" t="s">
        <v>161</v>
      </c>
      <c r="D6" s="24"/>
      <c r="E6" s="24"/>
      <c r="F6" s="24"/>
      <c r="G6" s="24"/>
      <c r="H6" s="24"/>
      <c r="I6" s="24"/>
      <c r="J6" s="24"/>
      <c r="K6" s="2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7.75" customHeight="1">
      <c r="A7" s="1"/>
      <c r="B7" s="52" t="s">
        <v>162</v>
      </c>
      <c r="C7" s="53" t="s">
        <v>163</v>
      </c>
      <c r="D7" s="24"/>
      <c r="E7" s="24"/>
      <c r="F7" s="24"/>
      <c r="G7" s="24"/>
      <c r="H7" s="24"/>
      <c r="I7" s="24"/>
      <c r="J7" s="24"/>
      <c r="K7" s="2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7.75" customHeight="1">
      <c r="A8" s="1"/>
      <c r="B8" s="52" t="s">
        <v>164</v>
      </c>
      <c r="C8" s="23" t="s">
        <v>165</v>
      </c>
      <c r="D8" s="24"/>
      <c r="E8" s="24"/>
      <c r="F8" s="24"/>
      <c r="G8" s="24"/>
      <c r="H8" s="24"/>
      <c r="I8" s="24"/>
      <c r="J8" s="24"/>
      <c r="K8" s="2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1"/>
      <c r="B9" s="52" t="s">
        <v>166</v>
      </c>
      <c r="C9" s="53" t="s">
        <v>167</v>
      </c>
      <c r="D9" s="24"/>
      <c r="E9" s="24"/>
      <c r="F9" s="24"/>
      <c r="G9" s="24"/>
      <c r="H9" s="24"/>
      <c r="I9" s="24"/>
      <c r="J9" s="24"/>
      <c r="K9" s="2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7.75" customHeight="1">
      <c r="A10" s="1"/>
      <c r="B10" s="52" t="s">
        <v>168</v>
      </c>
      <c r="C10" s="23" t="s">
        <v>169</v>
      </c>
      <c r="D10" s="24"/>
      <c r="E10" s="24"/>
      <c r="F10" s="24"/>
      <c r="G10" s="24"/>
      <c r="H10" s="24"/>
      <c r="I10" s="24"/>
      <c r="J10" s="24"/>
      <c r="K10" s="2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5.5" customHeight="1">
      <c r="A12" s="1"/>
      <c r="B12" s="51" t="s">
        <v>170</v>
      </c>
      <c r="C12" s="3"/>
      <c r="D12" s="3"/>
      <c r="E12" s="3"/>
      <c r="F12" s="3"/>
      <c r="G12" s="3"/>
      <c r="H12" s="3"/>
      <c r="I12" s="3"/>
      <c r="J12" s="3"/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1.5" customHeight="1">
      <c r="A13" s="1"/>
      <c r="B13" s="54" t="s">
        <v>67</v>
      </c>
      <c r="C13" s="54" t="s">
        <v>171</v>
      </c>
      <c r="D13" s="54" t="s">
        <v>68</v>
      </c>
      <c r="E13" s="54" t="s">
        <v>172</v>
      </c>
      <c r="F13" s="54" t="s">
        <v>70</v>
      </c>
      <c r="G13" s="54" t="s">
        <v>173</v>
      </c>
      <c r="H13" s="54" t="s">
        <v>174</v>
      </c>
      <c r="I13" s="54" t="s">
        <v>175</v>
      </c>
      <c r="J13" s="54" t="s">
        <v>176</v>
      </c>
      <c r="K13" s="54" t="s">
        <v>177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7.5" customHeight="1">
      <c r="A14" s="1"/>
      <c r="B14" s="35" t="s">
        <v>178</v>
      </c>
      <c r="C14" s="36" t="s">
        <v>179</v>
      </c>
      <c r="D14" s="36" t="s">
        <v>180</v>
      </c>
      <c r="E14" s="36" t="s">
        <v>181</v>
      </c>
      <c r="F14" s="36" t="s">
        <v>182</v>
      </c>
      <c r="G14" s="36" t="s">
        <v>183</v>
      </c>
      <c r="H14" s="36" t="s">
        <v>184</v>
      </c>
      <c r="I14" s="36" t="s">
        <v>185</v>
      </c>
      <c r="J14" s="36" t="s">
        <v>186</v>
      </c>
      <c r="K14" s="36" t="s">
        <v>187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7.5" customHeight="1">
      <c r="A15" s="1"/>
      <c r="B15" s="37" t="s">
        <v>188</v>
      </c>
      <c r="C15" s="38" t="s">
        <v>189</v>
      </c>
      <c r="D15" s="38" t="s">
        <v>190</v>
      </c>
      <c r="E15" s="38" t="s">
        <v>191</v>
      </c>
      <c r="F15" s="38" t="s">
        <v>192</v>
      </c>
      <c r="G15" s="38" t="s">
        <v>193</v>
      </c>
      <c r="H15" s="38" t="s">
        <v>194</v>
      </c>
      <c r="I15" s="38" t="s">
        <v>195</v>
      </c>
      <c r="J15" s="38" t="s">
        <v>196</v>
      </c>
      <c r="K15" s="38" t="s">
        <v>197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7.5" customHeight="1">
      <c r="A16" s="1"/>
      <c r="B16" s="35" t="s">
        <v>198</v>
      </c>
      <c r="C16" s="36" t="s">
        <v>199</v>
      </c>
      <c r="D16" s="36" t="s">
        <v>200</v>
      </c>
      <c r="E16" s="36" t="s">
        <v>201</v>
      </c>
      <c r="F16" s="36" t="s">
        <v>202</v>
      </c>
      <c r="G16" s="36" t="s">
        <v>203</v>
      </c>
      <c r="H16" s="36" t="s">
        <v>204</v>
      </c>
      <c r="I16" s="36" t="s">
        <v>205</v>
      </c>
      <c r="J16" s="36" t="s">
        <v>206</v>
      </c>
      <c r="K16" s="36" t="s">
        <v>207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7.5" customHeight="1">
      <c r="A17" s="1"/>
      <c r="B17" s="37" t="s">
        <v>208</v>
      </c>
      <c r="C17" s="38" t="s">
        <v>209</v>
      </c>
      <c r="D17" s="38" t="s">
        <v>210</v>
      </c>
      <c r="E17" s="38" t="s">
        <v>211</v>
      </c>
      <c r="F17" s="38" t="s">
        <v>182</v>
      </c>
      <c r="G17" s="38" t="s">
        <v>212</v>
      </c>
      <c r="H17" s="38" t="s">
        <v>213</v>
      </c>
      <c r="I17" s="38" t="s">
        <v>214</v>
      </c>
      <c r="J17" s="38" t="s">
        <v>215</v>
      </c>
      <c r="K17" s="38" t="s">
        <v>216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7.5" customHeight="1">
      <c r="A18" s="1"/>
      <c r="B18" s="35" t="s">
        <v>217</v>
      </c>
      <c r="C18" s="36" t="s">
        <v>209</v>
      </c>
      <c r="D18" s="36" t="s">
        <v>218</v>
      </c>
      <c r="E18" s="36" t="s">
        <v>219</v>
      </c>
      <c r="F18" s="36" t="s">
        <v>192</v>
      </c>
      <c r="G18" s="36" t="s">
        <v>220</v>
      </c>
      <c r="H18" s="36" t="s">
        <v>221</v>
      </c>
      <c r="I18" s="36" t="s">
        <v>222</v>
      </c>
      <c r="J18" s="36" t="s">
        <v>223</v>
      </c>
      <c r="K18" s="36" t="s">
        <v>224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7.75" customHeight="1">
      <c r="A19" s="1"/>
      <c r="B19" s="39" t="s">
        <v>225</v>
      </c>
      <c r="C19" s="40"/>
      <c r="D19" s="40"/>
      <c r="E19" s="40"/>
      <c r="F19" s="55" t="s">
        <v>226</v>
      </c>
      <c r="G19" s="40"/>
      <c r="H19" s="40"/>
      <c r="I19" s="40"/>
      <c r="J19" s="40"/>
      <c r="K19" s="4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customHeight="1">
      <c r="A21" s="1"/>
      <c r="B21" s="51" t="s">
        <v>227</v>
      </c>
      <c r="C21" s="3"/>
      <c r="D21" s="3"/>
      <c r="E21" s="3"/>
      <c r="F21" s="3"/>
      <c r="G21" s="3"/>
      <c r="H21" s="3"/>
      <c r="I21" s="3"/>
      <c r="J21" s="3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1"/>
      <c r="B22" s="56" t="s">
        <v>228</v>
      </c>
      <c r="C22" s="57" t="s">
        <v>229</v>
      </c>
      <c r="D22" s="3"/>
      <c r="E22" s="3"/>
      <c r="F22" s="4"/>
      <c r="G22" s="30" t="s">
        <v>230</v>
      </c>
      <c r="H22" s="3"/>
      <c r="I22" s="3"/>
      <c r="J22" s="3"/>
      <c r="K22" s="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0.0" customHeight="1">
      <c r="A23" s="1"/>
      <c r="B23" s="58" t="s">
        <v>231</v>
      </c>
      <c r="C23" s="59" t="s">
        <v>232</v>
      </c>
      <c r="D23" s="24"/>
      <c r="E23" s="24"/>
      <c r="F23" s="25"/>
      <c r="G23" s="60" t="s">
        <v>233</v>
      </c>
      <c r="H23" s="24"/>
      <c r="I23" s="24"/>
      <c r="J23" s="24"/>
      <c r="K23" s="2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1"/>
      <c r="B24" s="58" t="s">
        <v>234</v>
      </c>
      <c r="C24" s="59" t="s">
        <v>235</v>
      </c>
      <c r="D24" s="24"/>
      <c r="E24" s="24"/>
      <c r="F24" s="25"/>
      <c r="G24" s="61" t="s">
        <v>236</v>
      </c>
      <c r="H24" s="24"/>
      <c r="I24" s="24"/>
      <c r="J24" s="24"/>
      <c r="K24" s="2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0.0" customHeight="1">
      <c r="A25" s="1"/>
      <c r="B25" s="58" t="s">
        <v>237</v>
      </c>
      <c r="C25" s="59" t="s">
        <v>238</v>
      </c>
      <c r="D25" s="24"/>
      <c r="E25" s="24"/>
      <c r="F25" s="25"/>
      <c r="G25" s="60" t="s">
        <v>239</v>
      </c>
      <c r="H25" s="24"/>
      <c r="I25" s="24"/>
      <c r="J25" s="24"/>
      <c r="K25" s="2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0.0" customHeight="1">
      <c r="A26" s="1"/>
      <c r="B26" s="58" t="s">
        <v>240</v>
      </c>
      <c r="C26" s="59" t="s">
        <v>241</v>
      </c>
      <c r="D26" s="24"/>
      <c r="E26" s="24"/>
      <c r="F26" s="25"/>
      <c r="G26" s="61" t="s">
        <v>242</v>
      </c>
      <c r="H26" s="24"/>
      <c r="I26" s="24"/>
      <c r="J26" s="24"/>
      <c r="K26" s="2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0.0" customHeight="1">
      <c r="A27" s="1"/>
      <c r="B27" s="58" t="s">
        <v>243</v>
      </c>
      <c r="C27" s="59" t="s">
        <v>244</v>
      </c>
      <c r="D27" s="24"/>
      <c r="E27" s="24"/>
      <c r="F27" s="25"/>
      <c r="G27" s="60" t="s">
        <v>245</v>
      </c>
      <c r="H27" s="24"/>
      <c r="I27" s="24"/>
      <c r="J27" s="24"/>
      <c r="K27" s="2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0.0" customHeight="1">
      <c r="A28" s="1"/>
      <c r="B28" s="58" t="s">
        <v>246</v>
      </c>
      <c r="C28" s="59" t="s">
        <v>247</v>
      </c>
      <c r="D28" s="24"/>
      <c r="E28" s="24"/>
      <c r="F28" s="25"/>
      <c r="G28" s="61" t="s">
        <v>248</v>
      </c>
      <c r="H28" s="24"/>
      <c r="I28" s="24"/>
      <c r="J28" s="24"/>
      <c r="K28" s="2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5">
    <mergeCell ref="B1:K1"/>
    <mergeCell ref="B2:K2"/>
    <mergeCell ref="B4:K4"/>
    <mergeCell ref="C5:K5"/>
    <mergeCell ref="C6:K6"/>
    <mergeCell ref="C7:K7"/>
    <mergeCell ref="C8:K8"/>
    <mergeCell ref="C23:F23"/>
    <mergeCell ref="C24:F24"/>
    <mergeCell ref="C25:F25"/>
    <mergeCell ref="C26:F26"/>
    <mergeCell ref="C27:F27"/>
    <mergeCell ref="C28:F28"/>
    <mergeCell ref="G24:K24"/>
    <mergeCell ref="G25:K25"/>
    <mergeCell ref="G26:K26"/>
    <mergeCell ref="G27:K27"/>
    <mergeCell ref="G28:K28"/>
    <mergeCell ref="C9:K9"/>
    <mergeCell ref="C10:K10"/>
    <mergeCell ref="B12:K12"/>
    <mergeCell ref="B21:K21"/>
    <mergeCell ref="C22:F22"/>
    <mergeCell ref="G22:K22"/>
    <mergeCell ref="G23:K2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29.86"/>
    <col customWidth="1" min="4" max="4" width="26.0"/>
    <col customWidth="1" min="5" max="6" width="16.0"/>
    <col customWidth="1" min="7" max="8" width="18.0"/>
    <col customWidth="1" min="9" max="9" width="16.0"/>
    <col customWidth="1" min="10" max="26" width="8.71"/>
  </cols>
  <sheetData>
    <row r="1" ht="36.0" customHeight="1">
      <c r="A1" s="1"/>
      <c r="B1" s="62" t="s">
        <v>249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1"/>
      <c r="B2" s="30" t="s">
        <v>250</v>
      </c>
      <c r="C2" s="3"/>
      <c r="D2" s="3"/>
      <c r="E2" s="3"/>
      <c r="F2" s="3"/>
      <c r="G2" s="3"/>
      <c r="H2" s="3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/>
      <c r="B3" s="1"/>
      <c r="C3" s="1"/>
      <c r="D3" s="1"/>
      <c r="E3" s="1"/>
      <c r="F3" s="1"/>
      <c r="G3" s="1"/>
      <c r="H3" s="1"/>
      <c r="I3" s="1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5.5" customHeight="1">
      <c r="A4" s="1"/>
      <c r="B4" s="21" t="s">
        <v>251</v>
      </c>
      <c r="C4" s="3"/>
      <c r="D4" s="3"/>
      <c r="E4" s="3"/>
      <c r="F4" s="3"/>
      <c r="G4" s="3"/>
      <c r="H4" s="3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7.75" customHeight="1">
      <c r="A5" s="1"/>
      <c r="B5" s="63" t="s">
        <v>252</v>
      </c>
      <c r="C5" s="64" t="s">
        <v>253</v>
      </c>
      <c r="D5" s="65" t="s">
        <v>254</v>
      </c>
      <c r="E5" s="66" t="s">
        <v>255</v>
      </c>
      <c r="F5" s="3"/>
      <c r="G5" s="3"/>
      <c r="H5" s="3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75" customHeight="1">
      <c r="A6" s="1"/>
      <c r="B6" s="67" t="s">
        <v>256</v>
      </c>
      <c r="C6" s="36" t="s">
        <v>257</v>
      </c>
      <c r="D6" s="68" t="s">
        <v>258</v>
      </c>
      <c r="E6" s="69" t="s">
        <v>259</v>
      </c>
      <c r="F6" s="24"/>
      <c r="G6" s="24"/>
      <c r="H6" s="24"/>
      <c r="I6" s="2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7.75" customHeight="1">
      <c r="A7" s="1"/>
      <c r="B7" s="70" t="s">
        <v>260</v>
      </c>
      <c r="C7" s="36" t="s">
        <v>261</v>
      </c>
      <c r="D7" s="68" t="s">
        <v>262</v>
      </c>
      <c r="E7" s="69" t="s">
        <v>263</v>
      </c>
      <c r="F7" s="24"/>
      <c r="G7" s="24"/>
      <c r="H7" s="24"/>
      <c r="I7" s="2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7.75" customHeight="1">
      <c r="A8" s="1"/>
      <c r="B8" s="67" t="s">
        <v>171</v>
      </c>
      <c r="C8" s="36" t="s">
        <v>264</v>
      </c>
      <c r="D8" s="68" t="s">
        <v>265</v>
      </c>
      <c r="E8" s="69" t="s">
        <v>266</v>
      </c>
      <c r="F8" s="24"/>
      <c r="G8" s="24"/>
      <c r="H8" s="24"/>
      <c r="I8" s="2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1"/>
      <c r="B9" s="70" t="s">
        <v>267</v>
      </c>
      <c r="C9" s="36" t="s">
        <v>268</v>
      </c>
      <c r="D9" s="68" t="s">
        <v>269</v>
      </c>
      <c r="E9" s="69" t="s">
        <v>270</v>
      </c>
      <c r="F9" s="24"/>
      <c r="G9" s="24"/>
      <c r="H9" s="24"/>
      <c r="I9" s="2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7.75" customHeight="1">
      <c r="A10" s="1"/>
      <c r="B10" s="67" t="s">
        <v>132</v>
      </c>
      <c r="C10" s="36" t="s">
        <v>271</v>
      </c>
      <c r="D10" s="68" t="s">
        <v>272</v>
      </c>
      <c r="E10" s="69" t="s">
        <v>273</v>
      </c>
      <c r="F10" s="24"/>
      <c r="G10" s="24"/>
      <c r="H10" s="24"/>
      <c r="I10" s="2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75" customHeight="1">
      <c r="A11" s="1"/>
      <c r="B11" s="70" t="s">
        <v>274</v>
      </c>
      <c r="C11" s="36" t="s">
        <v>275</v>
      </c>
      <c r="D11" s="68" t="s">
        <v>276</v>
      </c>
      <c r="E11" s="69" t="s">
        <v>277</v>
      </c>
      <c r="F11" s="24"/>
      <c r="G11" s="24"/>
      <c r="H11" s="24"/>
      <c r="I11" s="2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7.75" customHeight="1">
      <c r="A12" s="1"/>
      <c r="B12" s="67" t="s">
        <v>278</v>
      </c>
      <c r="C12" s="36" t="s">
        <v>279</v>
      </c>
      <c r="D12" s="68" t="s">
        <v>280</v>
      </c>
      <c r="E12" s="69" t="s">
        <v>281</v>
      </c>
      <c r="F12" s="24"/>
      <c r="G12" s="24"/>
      <c r="H12" s="24"/>
      <c r="I12" s="2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7.75" customHeight="1">
      <c r="A13" s="1"/>
      <c r="B13" s="70" t="s">
        <v>70</v>
      </c>
      <c r="C13" s="36" t="s">
        <v>136</v>
      </c>
      <c r="D13" s="68" t="s">
        <v>282</v>
      </c>
      <c r="E13" s="69" t="s">
        <v>283</v>
      </c>
      <c r="F13" s="24"/>
      <c r="G13" s="24"/>
      <c r="H13" s="24"/>
      <c r="I13" s="2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1"/>
      <c r="C14" s="1"/>
      <c r="D14" s="1"/>
      <c r="E14" s="1"/>
      <c r="F14" s="1"/>
      <c r="G14" s="1"/>
      <c r="H14" s="1"/>
      <c r="I14" s="1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5.5" customHeight="1">
      <c r="A15" s="1"/>
      <c r="B15" s="21" t="s">
        <v>284</v>
      </c>
      <c r="C15" s="3"/>
      <c r="D15" s="3"/>
      <c r="E15" s="3"/>
      <c r="F15" s="3"/>
      <c r="G15" s="3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1"/>
      <c r="B16" s="71" t="s">
        <v>285</v>
      </c>
      <c r="C16" s="71" t="s">
        <v>286</v>
      </c>
      <c r="D16" s="71" t="s">
        <v>287</v>
      </c>
      <c r="E16" s="30" t="s">
        <v>288</v>
      </c>
      <c r="F16" s="3"/>
      <c r="G16" s="3"/>
      <c r="H16" s="3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9.5" customHeight="1">
      <c r="A17" s="1"/>
      <c r="B17" s="72" t="s">
        <v>289</v>
      </c>
      <c r="C17" s="73" t="s">
        <v>290</v>
      </c>
      <c r="D17" s="73" t="s">
        <v>291</v>
      </c>
      <c r="E17" s="74" t="s">
        <v>292</v>
      </c>
      <c r="F17" s="24"/>
      <c r="G17" s="24"/>
      <c r="H17" s="24"/>
      <c r="I17" s="2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9.5" customHeight="1">
      <c r="A18" s="1"/>
      <c r="B18" s="15" t="s">
        <v>293</v>
      </c>
      <c r="C18" s="75" t="s">
        <v>294</v>
      </c>
      <c r="D18" s="75" t="s">
        <v>253</v>
      </c>
      <c r="E18" s="76" t="s">
        <v>295</v>
      </c>
      <c r="F18" s="24"/>
      <c r="G18" s="24"/>
      <c r="H18" s="24"/>
      <c r="I18" s="2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9.5" customHeight="1">
      <c r="A19" s="1"/>
      <c r="B19" s="9" t="s">
        <v>296</v>
      </c>
      <c r="C19" s="77" t="s">
        <v>297</v>
      </c>
      <c r="D19" s="77" t="s">
        <v>253</v>
      </c>
      <c r="E19" s="78" t="s">
        <v>298</v>
      </c>
      <c r="F19" s="24"/>
      <c r="G19" s="24"/>
      <c r="H19" s="24"/>
      <c r="I19" s="2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9.5" customHeight="1">
      <c r="A20" s="1"/>
      <c r="B20" s="79" t="s">
        <v>299</v>
      </c>
      <c r="C20" s="80" t="s">
        <v>300</v>
      </c>
      <c r="D20" s="80" t="s">
        <v>301</v>
      </c>
      <c r="E20" s="81" t="s">
        <v>302</v>
      </c>
      <c r="F20" s="24"/>
      <c r="G20" s="24"/>
      <c r="H20" s="24"/>
      <c r="I20" s="2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9.5" customHeight="1">
      <c r="A21" s="1"/>
      <c r="B21" s="82" t="s">
        <v>303</v>
      </c>
      <c r="C21" s="83" t="s">
        <v>304</v>
      </c>
      <c r="D21" s="83" t="s">
        <v>291</v>
      </c>
      <c r="E21" s="84" t="s">
        <v>305</v>
      </c>
      <c r="F21" s="24"/>
      <c r="G21" s="24"/>
      <c r="H21" s="24"/>
      <c r="I21" s="2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1"/>
      <c r="B23" s="21" t="s">
        <v>306</v>
      </c>
      <c r="C23" s="3"/>
      <c r="D23" s="3"/>
      <c r="E23" s="3"/>
      <c r="F23" s="3"/>
      <c r="G23" s="3"/>
      <c r="H23" s="3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1"/>
      <c r="B24" s="71" t="s">
        <v>287</v>
      </c>
      <c r="C24" s="71" t="s">
        <v>70</v>
      </c>
      <c r="D24" s="71" t="s">
        <v>307</v>
      </c>
      <c r="E24" s="71" t="s">
        <v>308</v>
      </c>
      <c r="F24" s="71" t="s">
        <v>309</v>
      </c>
      <c r="G24" s="30" t="s">
        <v>310</v>
      </c>
      <c r="H24" s="3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7.75" customHeight="1">
      <c r="A25" s="1"/>
      <c r="B25" s="85" t="s">
        <v>311</v>
      </c>
      <c r="C25" s="86" t="s">
        <v>136</v>
      </c>
      <c r="D25" s="86" t="s">
        <v>130</v>
      </c>
      <c r="E25" s="86" t="s">
        <v>139</v>
      </c>
      <c r="F25" s="86" t="s">
        <v>142</v>
      </c>
      <c r="G25" s="87" t="s">
        <v>312</v>
      </c>
      <c r="H25" s="24"/>
      <c r="I25" s="2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7.75" customHeight="1">
      <c r="A26" s="1"/>
      <c r="B26" s="88" t="s">
        <v>313</v>
      </c>
      <c r="C26" s="89" t="s">
        <v>282</v>
      </c>
      <c r="D26" s="89" t="s">
        <v>111</v>
      </c>
      <c r="E26" s="89" t="s">
        <v>314</v>
      </c>
      <c r="F26" s="89" t="s">
        <v>315</v>
      </c>
      <c r="G26" s="90" t="s">
        <v>316</v>
      </c>
      <c r="H26" s="24"/>
      <c r="I26" s="2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7.75" customHeight="1">
      <c r="A27" s="1"/>
      <c r="B27" s="42" t="s">
        <v>317</v>
      </c>
      <c r="C27" s="91" t="s">
        <v>318</v>
      </c>
      <c r="D27" s="75" t="s">
        <v>319</v>
      </c>
      <c r="E27" s="92" t="s">
        <v>320</v>
      </c>
      <c r="F27" s="75" t="s">
        <v>321</v>
      </c>
      <c r="G27" s="93" t="s">
        <v>322</v>
      </c>
      <c r="H27" s="24"/>
      <c r="I27" s="2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3.75" customHeight="1">
      <c r="A29" s="1"/>
      <c r="B29" s="94" t="s">
        <v>323</v>
      </c>
      <c r="C29" s="24"/>
      <c r="D29" s="24"/>
      <c r="E29" s="24"/>
      <c r="F29" s="24"/>
      <c r="G29" s="24"/>
      <c r="H29" s="24"/>
      <c r="I29" s="2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5">
    <mergeCell ref="B1:I1"/>
    <mergeCell ref="B2:I2"/>
    <mergeCell ref="B4:I4"/>
    <mergeCell ref="E5:I5"/>
    <mergeCell ref="E6:I6"/>
    <mergeCell ref="E7:I7"/>
    <mergeCell ref="E8:I8"/>
    <mergeCell ref="E9:I9"/>
    <mergeCell ref="E10:I10"/>
    <mergeCell ref="E11:I11"/>
    <mergeCell ref="E12:I12"/>
    <mergeCell ref="E13:I13"/>
    <mergeCell ref="B15:I15"/>
    <mergeCell ref="E16:I16"/>
    <mergeCell ref="G25:I25"/>
    <mergeCell ref="G26:I26"/>
    <mergeCell ref="G27:I27"/>
    <mergeCell ref="B29:I29"/>
    <mergeCell ref="E17:I17"/>
    <mergeCell ref="E18:I18"/>
    <mergeCell ref="E19:I19"/>
    <mergeCell ref="E20:I20"/>
    <mergeCell ref="E21:I21"/>
    <mergeCell ref="B23:I23"/>
    <mergeCell ref="G24:I2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2026-06-13T05:49:52Z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